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35728FBD-8698-4811-B7D1-C3BFE238AA26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<sst xmlns="http://schemas.openxmlformats.org/spreadsheetml/2006/main" count="258" uniqueCount="114">
  <si>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</si>
  <si>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</si>
  <si>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</si>
  <si>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</si>
  <si>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</si>
  <si>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</si>
  <si>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</si>
  <si>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</si>
  <si>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</si>
  <si>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</si>
  <si>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</si>
  <si>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</si>
  <si>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</si>
  <si>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</si>
  <si>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</si>
  <si>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</si>
  <si>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</si>
  <si>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</si>
  <si>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</si>
  <si>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</si>
  <si>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</si>
  <si>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</si>
  <si>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</si>
  <si>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</si>
  <si>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</si>
  <si>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</si>
  <si>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</si>
  <si>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</si>
  <si>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</si>
  <si>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</si>
  <si>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</si>
  <si>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</si>
  <si>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</si>
  <si>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</si>
  <si>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</si>
  <si>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</si>
  <si>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</si>
  <si>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</si>
  <si>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</si>
  <si>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</si>
  <si>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</si>
  <si>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</si>
  <si>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</si>
  <si>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</si>
  <si>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</si>
  <si>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</si>
  <si>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</si>
  <si>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</si>
  <si>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</si>
  <si>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</si>
  <si>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</si>
  <si>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</si>
  <si>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</si>
  <si>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</si>
  <si>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</si>
  <si>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</si>
  <si>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</si>
  <si>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</si>
  <si>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</si>
  <si>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</si>
  <si>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</si>
  <si>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</si>
  <si>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</si>
  <si>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</si>
  <si>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</si>
  <si>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</si>
  <si>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</si>
  <si>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</si>
  <si>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</si>
  <si>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</si>
  <si>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</si>
  <si>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</si>
  <si>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</si>
  <si>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</si>
  <si>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</si>
  <si>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</si>
  <si>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</si>
  <si>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</si>
  <si>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</si>
  <si>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</si>
  <si>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</si>
  <si>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</si>
  <si>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</si>
  <si>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</si>
  <si>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</si>
  <si>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</si>
  <si>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</si>
  <si>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</si>
  <si>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</si>
  <si>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</si>
  <si>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</si>
  <si>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</si>
  <si>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</si>
  <si>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</si>
  <si>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</si>
  <si>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</si>
  <si>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</si>
  <si>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</si>
  <si>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</si>
  <si>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</si>
  <si>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</si>
  <si>
    <t>Busqueda por indice para usuarios, libros y posts</t>
  </si>
  <si>
    <t>Cloudinary</t>
  </si>
  <si>
    <t>SearchPage</t>
  </si>
  <si>
    <t>Cloudinary documentacion y api</t>
  </si>
  <si>
    <t>Cloudinary signature as token</t>
  </si>
  <si>
    <t>Emulator branch fixes</t>
  </si>
  <si>
    <t>Some fixes</t>
  </si>
  <si>
    <t>Image Service and some fixes</t>
  </si>
  <si>
    <t>ImageService implemented</t>
  </si>
  <si>
    <t>Image upload</t>
  </si>
  <si>
    <t>Minimo2</t>
  </si>
  <si>
    <t>Matomo</t>
  </si>
  <si>
    <t>Image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</si>
</sst>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116.5</c:v>
                </c:pt>
                <c:pt idx="1">
                  <c:v>40.5</c:v>
                </c:pt>
                <c:pt idx="2">
                  <c:v>37</c:v>
                </c:pt>
                <c:pt idx="3">
                  <c:v>77.5</c:v>
                </c:pt>
                <c:pt idx="4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6.5</c:v>
                </c:pt>
                <c:pt idx="3">
                  <c:v>22.5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21</c:v>
                </c:pt>
                <c:pt idx="1">
                  <c:v>8</c:v>
                </c:pt>
                <c:pt idx="2">
                  <c:v>11.5</c:v>
                </c:pt>
                <c:pt idx="3">
                  <c:v>9.5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27</c:v>
                </c:pt>
                <c:pt idx="1">
                  <c:v>5</c:v>
                </c:pt>
                <c:pt idx="2">
                  <c:v>4.5</c:v>
                </c:pt>
                <c:pt idx="3">
                  <c:v>19.5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19.5</c:v>
                </c:pt>
                <c:pt idx="1">
                  <c:v>15</c:v>
                </c:pt>
                <c:pt idx="2">
                  <c:v>6.5</c:v>
                </c:pt>
                <c:pt idx="3">
                  <c:v>4.5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32</c:v>
                </c:pt>
                <c:pt idx="1">
                  <c:v>7.5</c:v>
                </c:pt>
                <c:pt idx="2">
                  <c:v>8</c:v>
                </c:pt>
                <c:pt idx="3">
                  <c:v>21.5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22"/>
  <sheetViews>
    <sheetView topLeftCell="B3" zoomScaleNormal="100" workbookViewId="0">
      <selection activeCell="J17" sqref="J17"/>
    </sheetView>
  </sheetViews>
  <sheetFormatPr defaultColWidth="10.85546875" defaultRowHeight="15" x14ac:dyDescent="0.25"/>
  <cols>
    <col min="1" max="1" width="2.5703125" style="16" customWidth="1"/>
    <col min="2" max="2" width="24.140625" style="16" customWidth="1"/>
    <col min="3" max="3" width="2.5703125" style="16" customWidth="1"/>
    <col min="4" max="8" width="10.85546875" style="16"/>
    <col min="9" max="9" width="2.5703125" style="21" customWidth="1"/>
    <col min="10" max="15" width="10.85546875" style="16"/>
    <col min="16" max="16" width="7.85546875" style="16" customWidth="1"/>
    <col min="17" max="16384" width="10.85546875" style="16"/>
  </cols>
  <sheetData>
    <row r="2" spans="1:16" ht="20.100000000000001" customHeight="1" x14ac:dyDescent="0.25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00000000000001" customHeight="1" x14ac:dyDescent="0.25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45" customHeight="1" thickBot="1" x14ac:dyDescent="0.3">
      <c r="B5" s="25"/>
      <c r="C5" s="17"/>
      <c r="D5" s="26"/>
      <c r="E5" s="26"/>
      <c r="F5" s="26"/>
      <c r="G5" s="26"/>
      <c r="H5" s="26"/>
      <c r="I5" s="27"/>
      <c r="J5" s="26"/>
    </row>
    <row r="6" spans="1:16" ht="20.100000000000001" customHeight="1" thickBot="1" x14ac:dyDescent="0.3">
      <c r="A6" s="19"/>
      <c r="B6" s="28" t="s">
        <v>8</v>
      </c>
      <c r="C6" s="29"/>
      <c r="D6" s="61">
        <f>SUM(ALBA!F5:F138)</f>
        <v>17</v>
      </c>
      <c r="E6" s="62">
        <f>SUM(MARC!F5:F138)</f>
        <v>21</v>
      </c>
      <c r="F6" s="62">
        <f>SUM(MUYE!F5:F138)</f>
        <v>27</v>
      </c>
      <c r="G6" s="62">
        <f>SUM(VICTOR!F5:F138)</f>
        <v>19.5</v>
      </c>
      <c r="H6" s="63">
        <f>SUM(WENJIE!F5:F138)</f>
        <v>32</v>
      </c>
      <c r="I6" s="30"/>
      <c r="J6" s="31">
        <f>SUM(D6:H6)</f>
        <v>116.5</v>
      </c>
      <c r="K6" s="20"/>
    </row>
    <row r="7" spans="1:16" s="21" customFormat="1" ht="15.95" customHeight="1" thickBot="1" x14ac:dyDescent="0.3">
      <c r="B7" s="32"/>
      <c r="C7" s="33"/>
      <c r="D7" s="34"/>
      <c r="E7" s="34"/>
      <c r="F7" s="34"/>
      <c r="G7" s="34"/>
      <c r="H7" s="34"/>
      <c r="I7" s="34"/>
      <c r="J7" s="35"/>
    </row>
    <row r="8" spans="1:16" ht="20.100000000000001" customHeight="1" thickBot="1" x14ac:dyDescent="0.3">
      <c r="A8" s="19"/>
      <c r="B8" s="36" t="s">
        <v>9</v>
      </c>
      <c r="C8" s="29"/>
      <c r="D8" s="64">
        <f>SUM(ALBA!I5:I138)</f>
        <v>5</v>
      </c>
      <c r="E8" s="65">
        <f>SUM(MARC!I5:I138)</f>
        <v>8</v>
      </c>
      <c r="F8" s="65">
        <f>SUM(MUYE!I5:I138)</f>
        <v>5</v>
      </c>
      <c r="G8" s="65">
        <f>SUM(VICTOR!I5:I138)</f>
        <v>15</v>
      </c>
      <c r="H8" s="66">
        <f>SUM(WENJIE!I5:I138)</f>
        <v>7.5</v>
      </c>
      <c r="I8" s="37"/>
      <c r="J8" s="38">
        <f>SUM(D8:H8)</f>
        <v>40.5</v>
      </c>
      <c r="K8" s="20"/>
    </row>
    <row r="9" spans="1:16" s="21" customFormat="1" ht="15.95" customHeight="1" thickBot="1" x14ac:dyDescent="0.3">
      <c r="B9" s="39"/>
      <c r="C9" s="33"/>
      <c r="D9" s="34"/>
      <c r="E9" s="34"/>
      <c r="F9" s="34"/>
      <c r="G9" s="34"/>
      <c r="H9" s="34"/>
      <c r="I9" s="34"/>
      <c r="J9" s="35"/>
    </row>
    <row r="10" spans="1:16" ht="20.100000000000001" customHeight="1" thickBot="1" x14ac:dyDescent="0.3">
      <c r="A10" s="19"/>
      <c r="B10" s="40" t="s">
        <v>10</v>
      </c>
      <c r="C10" s="29"/>
      <c r="D10" s="67">
        <f>SUM(ALBA!L5:L138)</f>
        <v>6.5</v>
      </c>
      <c r="E10" s="68">
        <f>SUM(MARC!L5:L138)</f>
        <v>11.5</v>
      </c>
      <c r="F10" s="68">
        <f>SUM(MUYE!L5:L138)</f>
        <v>4.5</v>
      </c>
      <c r="G10" s="68">
        <f>SUM(VICTOR!L5:L138)</f>
        <v>6.5</v>
      </c>
      <c r="H10" s="69">
        <f>SUM(WENJIE!L5:L138)</f>
        <v>8</v>
      </c>
      <c r="I10" s="41"/>
      <c r="J10" s="42">
        <f>SUM(D10:H10)</f>
        <v>37</v>
      </c>
      <c r="K10" s="20"/>
    </row>
    <row r="11" spans="1:16" s="21" customFormat="1" ht="15.95" customHeight="1" thickBot="1" x14ac:dyDescent="0.3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00000000000001" customHeight="1" thickBot="1" x14ac:dyDescent="0.3">
      <c r="A12" s="19"/>
      <c r="B12" s="44" t="s">
        <v>11</v>
      </c>
      <c r="C12" s="29"/>
      <c r="D12" s="70">
        <f>SUM(ALBA!O5:O138)</f>
        <v>22.5</v>
      </c>
      <c r="E12" s="71">
        <f>SUM(MARC!O5:O138)</f>
        <v>9.5</v>
      </c>
      <c r="F12" s="71">
        <f>SUM(MUYE!O5:O138)</f>
        <v>19.5</v>
      </c>
      <c r="G12" s="71">
        <f>SUM(VICTOR!O5:O138)</f>
        <v>4.5</v>
      </c>
      <c r="H12" s="72">
        <f>SUM(WENJIE!O5:O138)</f>
        <v>21.5</v>
      </c>
      <c r="I12" s="45"/>
      <c r="J12" s="46">
        <f>SUM(D12:H12)</f>
        <v>77.5</v>
      </c>
      <c r="K12" s="20"/>
    </row>
    <row r="13" spans="1:16" s="21" customFormat="1" ht="15.95" customHeight="1" thickBot="1" x14ac:dyDescent="0.3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00000000000001" customHeight="1" thickBot="1" x14ac:dyDescent="0.3">
      <c r="A14" s="19"/>
      <c r="B14" s="48" t="s">
        <v>12</v>
      </c>
      <c r="C14" s="29"/>
      <c r="D14" s="73">
        <f>SUM(ALBA!R5:R138)</f>
        <v>23</v>
      </c>
      <c r="E14" s="74">
        <f>SUM(MARC!R5:R138)</f>
        <v>22</v>
      </c>
      <c r="F14" s="74">
        <f>SUM(MUYE!R5:R138)</f>
        <v>17</v>
      </c>
      <c r="G14" s="74">
        <f>SUM(VICTOR!R5:R138)</f>
        <v>31</v>
      </c>
      <c r="H14" s="75">
        <f>SUM(WENJIE!R5:R138)</f>
        <v>25</v>
      </c>
      <c r="I14" s="49"/>
      <c r="J14" s="50">
        <f>SUM(D14:H14)</f>
        <v>118</v>
      </c>
      <c r="K14" s="20"/>
    </row>
    <row r="15" spans="1:16" ht="15.95" customHeight="1" x14ac:dyDescent="0.25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00000000000001" customHeight="1" x14ac:dyDescent="0.25">
      <c r="B16" s="55" t="s">
        <v>13</v>
      </c>
      <c r="C16" s="17"/>
      <c r="D16" s="18">
        <f t="shared" ref="D16:F16" si="0">SUM(D6:D14)</f>
        <v>74</v>
      </c>
      <c r="E16" s="18">
        <f t="shared" si="0"/>
        <v>72</v>
      </c>
      <c r="F16" s="18">
        <f t="shared" si="0"/>
        <v>73</v>
      </c>
      <c r="G16" s="18">
        <f>SUM(G6:G14)</f>
        <v>76.5</v>
      </c>
      <c r="H16" s="18">
        <f>SUM(H6:H14)</f>
        <v>94</v>
      </c>
      <c r="I16" s="23"/>
      <c r="J16" s="18">
        <f>SUM(D16:H16)</f>
        <v>389.5</v>
      </c>
    </row>
    <row r="22" spans="5:11" x14ac:dyDescent="0.25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138"/>
  <sheetViews>
    <sheetView zoomScale="70" zoomScaleNormal="70" workbookViewId="0">
      <pane xSplit="5" ySplit="4" topLeftCell="F68" activePane="bottomRight" state="frozen"/>
      <selection pane="topRight" activeCell="F1" sqref="F1"/>
      <selection pane="bottomLeft" activeCell="A5" sqref="A5"/>
      <selection pane="bottomRight" activeCell="I81" sqref="I81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19" ht="15" customHeight="1" x14ac:dyDescent="0.25"/>
    <row r="2" spans="2:19" ht="14.45" customHeight="1" x14ac:dyDescent="0.25">
      <c r="B2" s="110" t="s">
        <v>14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19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19" ht="14.45" customHeight="1" x14ac:dyDescent="0.25"/>
    <row r="5" spans="2:19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45" customHeight="1" x14ac:dyDescent="0.25">
      <c r="B39" s="108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45" customHeight="1" x14ac:dyDescent="0.2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x14ac:dyDescent="0.2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x14ac:dyDescent="0.25">
      <c r="B72" s="108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x14ac:dyDescent="0.25">
      <c r="B77" s="108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x14ac:dyDescent="0.25">
      <c r="B91" s="108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x14ac:dyDescent="0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x14ac:dyDescent="0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3</v>
      </c>
      <c r="S93" s="60"/>
    </row>
    <row r="94" spans="2:19" x14ac:dyDescent="0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3</v>
      </c>
      <c r="S95" s="60"/>
    </row>
    <row r="96" spans="2:19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</row>
    <row r="98" spans="2:19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</row>
    <row r="100" spans="2:19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</row>
    <row r="101" spans="2:19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</row>
    <row r="104" spans="2:19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</row>
    <row r="105" spans="2:19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</row>
    <row r="106" spans="2:19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</row>
    <row r="107" spans="2:19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</row>
    <row r="110" spans="2:19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</row>
    <row r="113" spans="2:19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</row>
    <row r="114" spans="2:19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</row>
    <row r="115" spans="2:19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</row>
    <row r="116" spans="2:19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</row>
    <row r="119" spans="2:19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</row>
    <row r="122" spans="2:19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</row>
    <row r="126" spans="2:19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</row>
    <row r="128" spans="2:19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</row>
    <row r="129" spans="2:19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</row>
    <row r="133" spans="2:19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</row>
    <row r="136" spans="2:19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</row>
    <row r="137" spans="2:19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</row>
    <row r="138" spans="2:19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65" priority="5" operator="equal">
      <formula>0</formula>
    </cfRule>
  </conditionalFormatting>
  <conditionalFormatting sqref="F5:F138">
    <cfRule type="cellIs" dxfId="64" priority="10" operator="greaterThan">
      <formula>0</formula>
    </cfRule>
  </conditionalFormatting>
  <conditionalFormatting sqref="I5:I20 I22:I52 I54:I83 I85:I115 I117:I138">
    <cfRule type="cellIs" dxfId="63" priority="4" operator="equal">
      <formula>0</formula>
    </cfRule>
  </conditionalFormatting>
  <conditionalFormatting sqref="I5:I138">
    <cfRule type="cellIs" dxfId="62" priority="9" operator="greaterThan">
      <formula>0</formula>
    </cfRule>
  </conditionalFormatting>
  <conditionalFormatting sqref="L5:L20 L22:L52 L54:L83 L85:L115 L117:L138">
    <cfRule type="cellIs" dxfId="61" priority="3" operator="equal">
      <formula>0</formula>
    </cfRule>
  </conditionalFormatting>
  <conditionalFormatting sqref="L5:L138">
    <cfRule type="cellIs" dxfId="60" priority="8" operator="greaterThan">
      <formula>0</formula>
    </cfRule>
  </conditionalFormatting>
  <conditionalFormatting sqref="O5:O20 O22:O52 O54:O83 O85:O115 O117:O138">
    <cfRule type="cellIs" dxfId="59" priority="2" operator="equal">
      <formula>0</formula>
    </cfRule>
  </conditionalFormatting>
  <conditionalFormatting sqref="O5:O138">
    <cfRule type="cellIs" dxfId="58" priority="7" operator="greaterThan">
      <formula>0</formula>
    </cfRule>
  </conditionalFormatting>
  <conditionalFormatting sqref="R5:R20 R22:R52 R54:R83 R85:R115 R117:R138">
    <cfRule type="cellIs" dxfId="57" priority="1" operator="equal">
      <formula>0</formula>
    </cfRule>
  </conditionalFormatting>
  <conditionalFormatting sqref="R5:R138">
    <cfRule type="cellIs" dxfId="56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138"/>
  <sheetViews>
    <sheetView zoomScale="70" zoomScaleNormal="70" workbookViewId="0">
      <pane xSplit="5" ySplit="4" topLeftCell="F85" activePane="bottomRight" state="frozen"/>
      <selection pane="topRight" activeCell="F1" sqref="F1"/>
      <selection pane="bottomLeft" activeCell="A5" sqref="A5"/>
      <selection pane="bottomRight" activeCell="G78" sqref="G78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41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3</v>
      </c>
      <c r="P90" s="59"/>
      <c r="Q90" s="90"/>
      <c r="R90" s="80">
        <v>3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2</v>
      </c>
      <c r="S94" s="60"/>
      <c r="U94" s="14"/>
      <c r="V94" s="14"/>
    </row>
    <row r="95" spans="2:22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55" priority="25" operator="equal">
      <formula>0</formula>
    </cfRule>
  </conditionalFormatting>
  <conditionalFormatting sqref="F5:F138">
    <cfRule type="cellIs" dxfId="54" priority="30" operator="greaterThan">
      <formula>0</formula>
    </cfRule>
  </conditionalFormatting>
  <conditionalFormatting sqref="I5:I20 I22:I52 I54:I83 I85:I115 I117:I138">
    <cfRule type="cellIs" dxfId="53" priority="24" operator="equal">
      <formula>0</formula>
    </cfRule>
  </conditionalFormatting>
  <conditionalFormatting sqref="I5:I138">
    <cfRule type="cellIs" dxfId="52" priority="29" operator="greaterThan">
      <formula>0</formula>
    </cfRule>
  </conditionalFormatting>
  <conditionalFormatting sqref="L5:L20 L22:L52 L54:L83 L85:L115 L117:L138">
    <cfRule type="cellIs" dxfId="51" priority="23" operator="equal">
      <formula>0</formula>
    </cfRule>
  </conditionalFormatting>
  <conditionalFormatting sqref="L5:L138">
    <cfRule type="cellIs" dxfId="50" priority="28" operator="greaterThan">
      <formula>0</formula>
    </cfRule>
  </conditionalFormatting>
  <conditionalFormatting sqref="O5:O20 O22:O52 O54:O83 O85:O115 O117:O138">
    <cfRule type="cellIs" dxfId="49" priority="22" operator="equal">
      <formula>0</formula>
    </cfRule>
  </conditionalFormatting>
  <conditionalFormatting sqref="O5:O138">
    <cfRule type="cellIs" dxfId="48" priority="27" operator="greaterThan">
      <formula>0</formula>
    </cfRule>
  </conditionalFormatting>
  <conditionalFormatting sqref="R5:R20">
    <cfRule type="cellIs" dxfId="47" priority="17" operator="equal">
      <formula>0</formula>
    </cfRule>
  </conditionalFormatting>
  <conditionalFormatting sqref="R5:R138">
    <cfRule type="cellIs" dxfId="46" priority="2" operator="greaterThan">
      <formula>0</formula>
    </cfRule>
  </conditionalFormatting>
  <conditionalFormatting sqref="R22:R52">
    <cfRule type="cellIs" dxfId="45" priority="13" operator="equal">
      <formula>0</formula>
    </cfRule>
  </conditionalFormatting>
  <conditionalFormatting sqref="R54:R83">
    <cfRule type="cellIs" dxfId="44" priority="5" operator="equal">
      <formula>0</formula>
    </cfRule>
  </conditionalFormatting>
  <conditionalFormatting sqref="R85:R115">
    <cfRule type="cellIs" dxfId="43" priority="1" operator="equal">
      <formula>0</formula>
    </cfRule>
  </conditionalFormatting>
  <conditionalFormatting sqref="R117:R138">
    <cfRule type="cellIs" dxfId="42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138"/>
  <sheetViews>
    <sheetView zoomScale="70" zoomScaleNormal="70" workbookViewId="0">
      <pane xSplit="5" ySplit="4" topLeftCell="F54" activePane="bottomRight" state="frozen"/>
      <selection pane="topRight" activeCell="F1" sqref="F1"/>
      <selection pane="bottomLeft" activeCell="A5" sqref="A5"/>
      <selection pane="bottomRight" activeCell="F94" sqref="F94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43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08"/>
      <c r="D80" s="22">
        <v>27</v>
      </c>
      <c r="F80" s="76">
        <v>2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41" priority="25" operator="equal">
      <formula>0</formula>
    </cfRule>
  </conditionalFormatting>
  <conditionalFormatting sqref="F5:F138">
    <cfRule type="cellIs" dxfId="40" priority="30" operator="greaterThan">
      <formula>0</formula>
    </cfRule>
  </conditionalFormatting>
  <conditionalFormatting sqref="I5:I20 I22:I52 I54:I83 I85:I115 I117:I138">
    <cfRule type="cellIs" dxfId="39" priority="24" operator="equal">
      <formula>0</formula>
    </cfRule>
  </conditionalFormatting>
  <conditionalFormatting sqref="I5:I138">
    <cfRule type="cellIs" dxfId="38" priority="29" operator="greaterThan">
      <formula>0</formula>
    </cfRule>
  </conditionalFormatting>
  <conditionalFormatting sqref="L5:L20 L22:L52 L54:L83 L85:L115 L117:L138">
    <cfRule type="cellIs" dxfId="37" priority="23" operator="equal">
      <formula>0</formula>
    </cfRule>
  </conditionalFormatting>
  <conditionalFormatting sqref="L5:L138">
    <cfRule type="cellIs" dxfId="36" priority="28" operator="greaterThan">
      <formula>0</formula>
    </cfRule>
  </conditionalFormatting>
  <conditionalFormatting sqref="O5:O20 O22:O52 O54:O83 O85:O115 O117:O138">
    <cfRule type="cellIs" dxfId="35" priority="22" operator="equal">
      <formula>0</formula>
    </cfRule>
  </conditionalFormatting>
  <conditionalFormatting sqref="O5:O138">
    <cfRule type="cellIs" dxfId="34" priority="27" operator="greaterThan">
      <formula>0</formula>
    </cfRule>
  </conditionalFormatting>
  <conditionalFormatting sqref="R5:R20">
    <cfRule type="cellIs" dxfId="33" priority="17" operator="equal">
      <formula>0</formula>
    </cfRule>
  </conditionalFormatting>
  <conditionalFormatting sqref="R5:R138">
    <cfRule type="cellIs" dxfId="32" priority="2" operator="greaterThan">
      <formula>0</formula>
    </cfRule>
  </conditionalFormatting>
  <conditionalFormatting sqref="R22:R52">
    <cfRule type="cellIs" dxfId="31" priority="13" operator="equal">
      <formula>0</formula>
    </cfRule>
  </conditionalFormatting>
  <conditionalFormatting sqref="R54:R83">
    <cfRule type="cellIs" dxfId="30" priority="5" operator="equal">
      <formula>0</formula>
    </cfRule>
  </conditionalFormatting>
  <conditionalFormatting sqref="R85:R115">
    <cfRule type="cellIs" dxfId="29" priority="1" operator="equal">
      <formula>0</formula>
    </cfRule>
  </conditionalFormatting>
  <conditionalFormatting sqref="R117:R138">
    <cfRule type="cellIs" dxfId="28" priority="2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190"/>
  <sheetViews>
    <sheetView zoomScale="70" zoomScaleNormal="70" workbookViewId="0">
      <pane xSplit="5" ySplit="4" topLeftCell="F69" activePane="bottomRight" state="frozen"/>
      <selection pane="topRight" activeCell="F1" sqref="F1"/>
      <selection pane="bottomLeft" activeCell="A5" sqref="A5"/>
      <selection pane="bottomRight" activeCell="L86" sqref="L86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48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2</v>
      </c>
      <c r="S79" s="60"/>
      <c r="U79" s="14"/>
      <c r="V79" s="14"/>
    </row>
    <row r="80" spans="2:22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2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3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1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2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2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>
        <v>0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08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 x14ac:dyDescent="0.25">
      <c r="U139" s="14"/>
      <c r="V139" s="14"/>
    </row>
    <row r="140" spans="2:22" x14ac:dyDescent="0.25">
      <c r="U140" s="14"/>
      <c r="V140" s="14"/>
    </row>
    <row r="141" spans="2:22" x14ac:dyDescent="0.25">
      <c r="U141" s="14"/>
      <c r="V141" s="14"/>
    </row>
    <row r="142" spans="2:22" x14ac:dyDescent="0.25">
      <c r="U142" s="14"/>
      <c r="V142" s="14"/>
    </row>
    <row r="143" spans="2:22" x14ac:dyDescent="0.25">
      <c r="U143" s="14"/>
      <c r="V143" s="14"/>
    </row>
    <row r="144" spans="2:22" x14ac:dyDescent="0.25">
      <c r="U144" s="14"/>
      <c r="V144" s="14"/>
    </row>
    <row r="145" spans="21:22" x14ac:dyDescent="0.25">
      <c r="U145" s="14"/>
      <c r="V145" s="14"/>
    </row>
    <row r="146" spans="21:22" x14ac:dyDescent="0.25">
      <c r="U146" s="14"/>
      <c r="V146" s="14"/>
    </row>
    <row r="147" spans="21:22" x14ac:dyDescent="0.25">
      <c r="U147" s="14"/>
      <c r="V147" s="14"/>
    </row>
    <row r="148" spans="21:22" x14ac:dyDescent="0.25">
      <c r="U148" s="14"/>
      <c r="V148" s="14"/>
    </row>
    <row r="149" spans="21:22" x14ac:dyDescent="0.25">
      <c r="U149" s="14"/>
      <c r="V149" s="14"/>
    </row>
    <row r="150" spans="21:22" x14ac:dyDescent="0.25">
      <c r="U150" s="14"/>
      <c r="V150" s="14"/>
    </row>
    <row r="151" spans="21:22" x14ac:dyDescent="0.25">
      <c r="U151" s="14"/>
      <c r="V151" s="14"/>
    </row>
    <row r="152" spans="21:22" x14ac:dyDescent="0.25">
      <c r="U152" s="14"/>
      <c r="V152" s="14"/>
    </row>
    <row r="153" spans="21:22" x14ac:dyDescent="0.25">
      <c r="U153" s="14"/>
      <c r="V153" s="14"/>
    </row>
    <row r="154" spans="21:22" x14ac:dyDescent="0.25">
      <c r="U154" s="14"/>
      <c r="V154" s="14"/>
    </row>
    <row r="155" spans="21:22" x14ac:dyDescent="0.25">
      <c r="U155" s="14"/>
      <c r="V155" s="14"/>
    </row>
    <row r="156" spans="21:22" x14ac:dyDescent="0.25">
      <c r="U156" s="14"/>
      <c r="V156" s="14"/>
    </row>
    <row r="157" spans="21:22" x14ac:dyDescent="0.25">
      <c r="U157" s="14"/>
      <c r="V157" s="14"/>
    </row>
    <row r="158" spans="21:22" x14ac:dyDescent="0.25">
      <c r="U158" s="14"/>
      <c r="V158" s="14"/>
    </row>
    <row r="159" spans="21:22" x14ac:dyDescent="0.25">
      <c r="U159" s="14"/>
      <c r="V159" s="14"/>
    </row>
    <row r="160" spans="21:22" x14ac:dyDescent="0.25">
      <c r="U160" s="14"/>
      <c r="V160" s="14"/>
    </row>
    <row r="161" spans="21:22" x14ac:dyDescent="0.25">
      <c r="U161" s="14"/>
      <c r="V161" s="14"/>
    </row>
    <row r="162" spans="21:22" x14ac:dyDescent="0.25">
      <c r="U162" s="14"/>
      <c r="V162" s="14"/>
    </row>
    <row r="163" spans="21:22" x14ac:dyDescent="0.25">
      <c r="U163" s="14"/>
      <c r="V163" s="14"/>
    </row>
    <row r="164" spans="21:22" x14ac:dyDescent="0.25">
      <c r="U164" s="14"/>
      <c r="V164" s="14"/>
    </row>
    <row r="165" spans="21:22" x14ac:dyDescent="0.25">
      <c r="U165" s="14"/>
      <c r="V165" s="14"/>
    </row>
    <row r="166" spans="21:22" x14ac:dyDescent="0.25">
      <c r="U166" s="14"/>
      <c r="V166" s="14"/>
    </row>
    <row r="167" spans="21:22" x14ac:dyDescent="0.25">
      <c r="U167" s="14"/>
      <c r="V167" s="14"/>
    </row>
    <row r="168" spans="21:22" x14ac:dyDescent="0.25">
      <c r="U168" s="14"/>
      <c r="V168" s="14"/>
    </row>
    <row r="169" spans="21:22" x14ac:dyDescent="0.25">
      <c r="U169" s="14"/>
      <c r="V169" s="14"/>
    </row>
    <row r="170" spans="21:22" x14ac:dyDescent="0.25">
      <c r="U170" s="14"/>
      <c r="V170" s="14"/>
    </row>
    <row r="171" spans="21:22" x14ac:dyDescent="0.25">
      <c r="U171" s="14"/>
      <c r="V171" s="14"/>
    </row>
    <row r="172" spans="21:22" x14ac:dyDescent="0.25">
      <c r="U172" s="14"/>
      <c r="V172" s="14"/>
    </row>
    <row r="173" spans="21:22" x14ac:dyDescent="0.25">
      <c r="U173" s="14"/>
      <c r="V173" s="14"/>
    </row>
    <row r="174" spans="21:22" x14ac:dyDescent="0.25">
      <c r="U174" s="14"/>
      <c r="V174" s="14"/>
    </row>
    <row r="175" spans="21:22" x14ac:dyDescent="0.25">
      <c r="U175" s="14"/>
      <c r="V175" s="14"/>
    </row>
    <row r="176" spans="21:22" x14ac:dyDescent="0.25">
      <c r="U176" s="14"/>
      <c r="V176" s="14"/>
    </row>
    <row r="177" spans="21:22" x14ac:dyDescent="0.25">
      <c r="U177" s="14"/>
      <c r="V177" s="14"/>
    </row>
    <row r="178" spans="21:22" x14ac:dyDescent="0.25">
      <c r="U178" s="14"/>
      <c r="V178" s="14"/>
    </row>
    <row r="179" spans="21:22" x14ac:dyDescent="0.25">
      <c r="U179" s="14"/>
      <c r="V179" s="14"/>
    </row>
    <row r="180" spans="21:22" x14ac:dyDescent="0.25">
      <c r="U180" s="14"/>
      <c r="V180" s="14"/>
    </row>
    <row r="181" spans="21:22" x14ac:dyDescent="0.25">
      <c r="U181" s="14"/>
      <c r="V181" s="14"/>
    </row>
    <row r="182" spans="21:22" x14ac:dyDescent="0.25">
      <c r="U182" s="14"/>
      <c r="V182" s="14"/>
    </row>
    <row r="183" spans="21:22" x14ac:dyDescent="0.25">
      <c r="U183" s="14"/>
      <c r="V183" s="14"/>
    </row>
    <row r="184" spans="21:22" x14ac:dyDescent="0.25">
      <c r="U184" s="14"/>
      <c r="V184" s="14"/>
    </row>
    <row r="185" spans="21:22" x14ac:dyDescent="0.25">
      <c r="U185" s="14"/>
      <c r="V185" s="14"/>
    </row>
    <row r="186" spans="21:22" x14ac:dyDescent="0.25">
      <c r="U186" s="14"/>
      <c r="V186" s="14"/>
    </row>
    <row r="187" spans="21:22" x14ac:dyDescent="0.25">
      <c r="U187" s="14"/>
      <c r="V187" s="14"/>
    </row>
    <row r="188" spans="21:22" x14ac:dyDescent="0.25">
      <c r="U188" s="14"/>
      <c r="V188" s="14"/>
    </row>
    <row r="189" spans="21:22" x14ac:dyDescent="0.25">
      <c r="U189" s="14"/>
      <c r="V189" s="14"/>
    </row>
    <row r="190" spans="21:22" x14ac:dyDescent="0.25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27" priority="27" operator="equal">
      <formula>0</formula>
    </cfRule>
  </conditionalFormatting>
  <conditionalFormatting sqref="F5:F138">
    <cfRule type="cellIs" dxfId="26" priority="32" operator="greaterThan">
      <formula>0</formula>
    </cfRule>
  </conditionalFormatting>
  <conditionalFormatting sqref="I5:I20 I22:I52 I54:I83 I85:I115 I117:I138">
    <cfRule type="cellIs" dxfId="25" priority="26" operator="equal">
      <formula>0</formula>
    </cfRule>
  </conditionalFormatting>
  <conditionalFormatting sqref="I5:I138">
    <cfRule type="cellIs" dxfId="24" priority="31" operator="greaterThan">
      <formula>0</formula>
    </cfRule>
  </conditionalFormatting>
  <conditionalFormatting sqref="L5:L20 L22:L52 L54:L83 L85:L115 L117:L138">
    <cfRule type="cellIs" dxfId="23" priority="25" operator="equal">
      <formula>0</formula>
    </cfRule>
  </conditionalFormatting>
  <conditionalFormatting sqref="L5:L138">
    <cfRule type="cellIs" dxfId="22" priority="30" operator="greaterThan">
      <formula>0</formula>
    </cfRule>
  </conditionalFormatting>
  <conditionalFormatting sqref="O5:O20 O22:O52 O54:O83 O85:O115 O117:O138">
    <cfRule type="cellIs" dxfId="21" priority="24" operator="equal">
      <formula>0</formula>
    </cfRule>
  </conditionalFormatting>
  <conditionalFormatting sqref="O5:O138">
    <cfRule type="cellIs" dxfId="20" priority="29" operator="greaterThan">
      <formula>0</formula>
    </cfRule>
  </conditionalFormatting>
  <conditionalFormatting sqref="R5:R20">
    <cfRule type="cellIs" dxfId="19" priority="17" operator="equal">
      <formula>0</formula>
    </cfRule>
  </conditionalFormatting>
  <conditionalFormatting sqref="R5:R138">
    <cfRule type="cellIs" dxfId="18" priority="2" operator="greaterThan">
      <formula>0</formula>
    </cfRule>
  </conditionalFormatting>
  <conditionalFormatting sqref="R22:R52">
    <cfRule type="cellIs" dxfId="17" priority="13" operator="equal">
      <formula>0</formula>
    </cfRule>
  </conditionalFormatting>
  <conditionalFormatting sqref="R54:R83">
    <cfRule type="cellIs" dxfId="16" priority="1" operator="equal">
      <formula>0</formula>
    </cfRule>
  </conditionalFormatting>
  <conditionalFormatting sqref="R85:R115">
    <cfRule type="cellIs" dxfId="15" priority="3" operator="equal">
      <formula>0</formula>
    </cfRule>
  </conditionalFormatting>
  <conditionalFormatting sqref="R117:R138">
    <cfRule type="cellIs" dxfId="14" priority="2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V138"/>
  <sheetViews>
    <sheetView tabSelected="1" zoomScale="70" zoomScaleNormal="70" workbookViewId="0">
      <pane xSplit="5" ySplit="4" topLeftCell="F93" activePane="bottomRight" state="frozen"/>
      <selection pane="topRight" activeCell="F1" sqref="F1"/>
      <selection pane="bottomLeft" activeCell="A5" sqref="A5"/>
      <selection pane="bottomRight" activeCell="P123" sqref="P123"/>
    </sheetView>
  </sheetViews>
  <sheetFormatPr defaultColWidth="10.85546875" defaultRowHeight="15" x14ac:dyDescent="0.2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 x14ac:dyDescent="0.25"/>
    <row r="2" spans="2:22" ht="14.45" customHeight="1" x14ac:dyDescent="0.25">
      <c r="B2" s="110" t="s">
        <v>53</v>
      </c>
      <c r="C2" s="111"/>
      <c r="D2" s="112"/>
      <c r="F2" s="116" t="s">
        <v>15</v>
      </c>
      <c r="G2" s="116"/>
      <c r="H2" s="3"/>
      <c r="I2" s="117" t="s">
        <v>16</v>
      </c>
      <c r="J2" s="117"/>
      <c r="L2" s="118" t="s">
        <v>17</v>
      </c>
      <c r="M2" s="118"/>
      <c r="O2" s="119" t="s">
        <v>18</v>
      </c>
      <c r="P2" s="119"/>
      <c r="R2" s="109" t="s">
        <v>19</v>
      </c>
      <c r="S2" s="109"/>
    </row>
    <row r="3" spans="2:22" ht="14.45" customHeight="1" x14ac:dyDescent="0.25">
      <c r="B3" s="113"/>
      <c r="C3" s="114"/>
      <c r="D3" s="115"/>
      <c r="F3" s="116"/>
      <c r="G3" s="116"/>
      <c r="H3" s="3"/>
      <c r="I3" s="117"/>
      <c r="J3" s="117"/>
      <c r="L3" s="118"/>
      <c r="M3" s="118"/>
      <c r="O3" s="119"/>
      <c r="P3" s="119"/>
      <c r="R3" s="109"/>
      <c r="S3" s="109"/>
    </row>
    <row r="4" spans="2:22" ht="14.45" customHeight="1" x14ac:dyDescent="0.25"/>
    <row r="5" spans="2:22" ht="14.45" customHeight="1" x14ac:dyDescent="0.25">
      <c r="B5" s="105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 x14ac:dyDescent="0.25">
      <c r="B6" s="106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 x14ac:dyDescent="0.25">
      <c r="B7" s="106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 x14ac:dyDescent="0.25">
      <c r="B8" s="106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 x14ac:dyDescent="0.25">
      <c r="B9" s="106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 x14ac:dyDescent="0.25">
      <c r="B10" s="106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 x14ac:dyDescent="0.25">
      <c r="B11" s="106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 x14ac:dyDescent="0.25">
      <c r="B12" s="106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 x14ac:dyDescent="0.25">
      <c r="B13" s="106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 x14ac:dyDescent="0.25">
      <c r="B14" s="106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 x14ac:dyDescent="0.25">
      <c r="B15" s="106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 x14ac:dyDescent="0.25">
      <c r="B16" s="106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 x14ac:dyDescent="0.25">
      <c r="B17" s="106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 x14ac:dyDescent="0.25">
      <c r="B18" s="106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 x14ac:dyDescent="0.25">
      <c r="B19" s="106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 x14ac:dyDescent="0.25">
      <c r="B20" s="107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 x14ac:dyDescent="0.2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 x14ac:dyDescent="0.25">
      <c r="B22" s="108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 x14ac:dyDescent="0.25">
      <c r="B23" s="108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 x14ac:dyDescent="0.25">
      <c r="B24" s="108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 x14ac:dyDescent="0.25">
      <c r="B25" s="108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 x14ac:dyDescent="0.25">
      <c r="B26" s="108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 x14ac:dyDescent="0.25">
      <c r="B27" s="108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 x14ac:dyDescent="0.25">
      <c r="B28" s="108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 x14ac:dyDescent="0.25">
      <c r="B29" s="108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 x14ac:dyDescent="0.25">
      <c r="B30" s="108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 x14ac:dyDescent="0.25">
      <c r="B31" s="108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 x14ac:dyDescent="0.25">
      <c r="B32" s="108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 x14ac:dyDescent="0.25">
      <c r="B33" s="108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 x14ac:dyDescent="0.25">
      <c r="B34" s="108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 x14ac:dyDescent="0.25">
      <c r="B35" s="108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 x14ac:dyDescent="0.25">
      <c r="B36" s="108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 x14ac:dyDescent="0.25">
      <c r="B37" s="108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 x14ac:dyDescent="0.25">
      <c r="B38" s="108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 x14ac:dyDescent="0.25">
      <c r="B39" s="108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 x14ac:dyDescent="0.25">
      <c r="B40" s="108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 x14ac:dyDescent="0.25">
      <c r="B41" s="108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 x14ac:dyDescent="0.25">
      <c r="B42" s="108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 x14ac:dyDescent="0.25">
      <c r="B43" s="108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 x14ac:dyDescent="0.25">
      <c r="B44" s="108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 x14ac:dyDescent="0.25">
      <c r="B45" s="108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 x14ac:dyDescent="0.25">
      <c r="B46" s="108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 x14ac:dyDescent="0.25">
      <c r="B47" s="108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 x14ac:dyDescent="0.25">
      <c r="B48" s="108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 x14ac:dyDescent="0.25">
      <c r="B49" s="108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 x14ac:dyDescent="0.25">
      <c r="B50" s="108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 x14ac:dyDescent="0.25">
      <c r="B51" s="108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 x14ac:dyDescent="0.25">
      <c r="B52" s="108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 x14ac:dyDescent="0.2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 x14ac:dyDescent="0.25">
      <c r="B54" s="108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 x14ac:dyDescent="0.25">
      <c r="B55" s="108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 x14ac:dyDescent="0.25">
      <c r="B56" s="108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 x14ac:dyDescent="0.25">
      <c r="B57" s="108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 x14ac:dyDescent="0.25">
      <c r="B58" s="108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 x14ac:dyDescent="0.25">
      <c r="B59" s="108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 x14ac:dyDescent="0.25">
      <c r="B60" s="108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 x14ac:dyDescent="0.25">
      <c r="B61" s="108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 x14ac:dyDescent="0.25">
      <c r="B62" s="108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25">
      <c r="B63" s="108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25">
      <c r="B64" s="108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25">
      <c r="B65" s="108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25">
      <c r="B66" s="108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25">
      <c r="B67" s="108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25">
      <c r="B68" s="108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25">
      <c r="B69" s="108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x14ac:dyDescent="0.25">
      <c r="B70" s="108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25">
      <c r="B71" s="108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25">
      <c r="B72" s="108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25">
      <c r="B73" s="108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25">
      <c r="B74" s="108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25">
      <c r="B75" s="108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25">
      <c r="B76" s="108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25">
      <c r="B77" s="108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x14ac:dyDescent="0.25">
      <c r="B78" s="108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25">
      <c r="B79" s="108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25">
      <c r="B80" s="108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25">
      <c r="B81" s="108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25">
      <c r="B82" s="108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x14ac:dyDescent="0.25">
      <c r="B83" s="108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2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25">
      <c r="B85" s="108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25">
      <c r="B86" s="108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25">
      <c r="B87" s="108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25">
      <c r="B88" s="108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25">
      <c r="B89" s="108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x14ac:dyDescent="0.25">
      <c r="B90" s="108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25">
      <c r="B91" s="108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25">
      <c r="B92" s="108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25">
      <c r="B93" s="108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25">
      <c r="B94" s="108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25">
      <c r="B95" s="108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x14ac:dyDescent="0.25">
      <c r="B96" s="108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25">
      <c r="B97" s="108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25">
      <c r="B98" s="108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25">
      <c r="B99" s="108"/>
      <c r="D99" s="22">
        <v>15</v>
      </c>
      <c r="F99" s="76">
        <v>3</v>
      </c>
      <c r="G99" s="4" t="s">
        <v>101</v>
      </c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 x14ac:dyDescent="0.25">
      <c r="B100" s="108"/>
      <c r="D100" s="22">
        <v>16</v>
      </c>
      <c r="F100" s="76">
        <v>0</v>
      </c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25">
      <c r="B101" s="108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25">
      <c r="B102" s="108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25">
      <c r="B103" s="108"/>
      <c r="D103" s="22">
        <v>19</v>
      </c>
      <c r="F103" s="76">
        <v>2</v>
      </c>
      <c r="G103" s="4" t="s">
        <v>102</v>
      </c>
      <c r="H103" s="90"/>
      <c r="I103" s="77">
        <v>0</v>
      </c>
      <c r="J103" s="57"/>
      <c r="K103" s="90"/>
      <c r="L103" s="78">
        <v>3</v>
      </c>
      <c r="M103" s="58" t="s">
        <v>103</v>
      </c>
      <c r="N103" s="90"/>
      <c r="O103" s="79">
        <v>0</v>
      </c>
      <c r="P103" s="59"/>
      <c r="Q103" s="90"/>
      <c r="R103" s="80">
        <v>1</v>
      </c>
      <c r="S103" s="60" t="s">
        <v>104</v>
      </c>
      <c r="U103" s="14"/>
      <c r="V103" s="14"/>
    </row>
    <row r="104" spans="2:22" x14ac:dyDescent="0.25">
      <c r="B104" s="108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25">
      <c r="B105" s="108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25">
      <c r="B106" s="108"/>
      <c r="D106" s="22">
        <v>22</v>
      </c>
      <c r="F106" s="76">
        <v>2</v>
      </c>
      <c r="G106" s="4" t="s">
        <v>105</v>
      </c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 x14ac:dyDescent="0.25">
      <c r="B107" s="108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25">
      <c r="B108" s="108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25">
      <c r="B109" s="108"/>
      <c r="D109" s="22">
        <v>25</v>
      </c>
      <c r="F109" s="76">
        <v>2</v>
      </c>
      <c r="G109" s="4" t="s">
        <v>106</v>
      </c>
      <c r="H109" s="90"/>
      <c r="I109" s="77">
        <v>0</v>
      </c>
      <c r="J109" s="57"/>
      <c r="K109" s="90"/>
      <c r="L109" s="78">
        <v>2</v>
      </c>
      <c r="M109" s="58" t="s">
        <v>109</v>
      </c>
      <c r="N109" s="90"/>
      <c r="O109" s="79">
        <v>2</v>
      </c>
      <c r="P109" s="59" t="s">
        <v>107</v>
      </c>
      <c r="Q109" s="90"/>
      <c r="R109" s="80">
        <v>0</v>
      </c>
      <c r="S109" s="60"/>
      <c r="U109" s="14"/>
      <c r="V109" s="14"/>
    </row>
    <row r="110" spans="2:22" x14ac:dyDescent="0.25">
      <c r="B110" s="108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25">
      <c r="B111" s="108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25">
      <c r="B112" s="108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4</v>
      </c>
      <c r="P112" s="59" t="s">
        <v>108</v>
      </c>
      <c r="Q112" s="90"/>
      <c r="R112" s="80">
        <v>0</v>
      </c>
      <c r="S112" s="60"/>
      <c r="U112" s="14"/>
      <c r="V112" s="14"/>
    </row>
    <row r="113" spans="2:22" x14ac:dyDescent="0.25">
      <c r="B113" s="108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 x14ac:dyDescent="0.25">
      <c r="B114" s="108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25">
      <c r="B115" s="108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1</v>
      </c>
      <c r="P115" s="59" t="s">
        <v>110</v>
      </c>
      <c r="Q115" s="90"/>
      <c r="R115" s="80">
        <v>0</v>
      </c>
      <c r="S115" s="60"/>
      <c r="U115" s="14"/>
      <c r="V115" s="14"/>
    </row>
    <row r="116" spans="2:22" s="10" customFormat="1" x14ac:dyDescent="0.2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 x14ac:dyDescent="0.25">
      <c r="B117" s="105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25">
      <c r="B118" s="106"/>
      <c r="D118" s="22">
        <v>2</v>
      </c>
      <c r="F118" s="76">
        <v>1</v>
      </c>
      <c r="G118" s="4" t="s">
        <v>111</v>
      </c>
      <c r="H118" s="90"/>
      <c r="I118" s="77">
        <v>1</v>
      </c>
      <c r="J118" s="57" t="s">
        <v>111</v>
      </c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1</v>
      </c>
      <c r="S118" s="60" t="s">
        <v>112</v>
      </c>
      <c r="U118" s="14"/>
      <c r="V118" s="14"/>
    </row>
    <row r="119" spans="2:22" x14ac:dyDescent="0.25">
      <c r="B119" s="106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25">
      <c r="B120" s="106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25">
      <c r="B121" s="106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25">
      <c r="B122" s="106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2</v>
      </c>
      <c r="P122" s="59" t="s">
        <v>113</v>
      </c>
      <c r="Q122" s="90"/>
      <c r="R122" s="80">
        <v>0</v>
      </c>
      <c r="S122" s="60"/>
      <c r="U122" s="14"/>
      <c r="V122" s="14"/>
    </row>
    <row r="123" spans="2:22" x14ac:dyDescent="0.25">
      <c r="B123" s="106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25">
      <c r="B124" s="106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25">
      <c r="B125" s="106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25">
      <c r="B126" s="106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25">
      <c r="B127" s="106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25">
      <c r="B128" s="106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 x14ac:dyDescent="0.25">
      <c r="B129" s="106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25">
      <c r="B130" s="106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25">
      <c r="B131" s="106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25">
      <c r="B132" s="106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 x14ac:dyDescent="0.25">
      <c r="B133" s="106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25">
      <c r="B134" s="106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25">
      <c r="B135" s="106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25">
      <c r="B136" s="106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25">
      <c r="B137" s="106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 x14ac:dyDescent="0.25">
      <c r="B138" s="107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13" priority="23" operator="equal">
      <formula>0</formula>
    </cfRule>
  </conditionalFormatting>
  <conditionalFormatting sqref="F5:F138">
    <cfRule type="cellIs" dxfId="12" priority="28" operator="greaterThan">
      <formula>0</formula>
    </cfRule>
  </conditionalFormatting>
  <conditionalFormatting sqref="I5:I20 I22:I52 I54:I83 I85:I115 I117:I138">
    <cfRule type="cellIs" dxfId="11" priority="22" operator="equal">
      <formula>0</formula>
    </cfRule>
  </conditionalFormatting>
  <conditionalFormatting sqref="I5:I138">
    <cfRule type="cellIs" dxfId="10" priority="27" operator="greaterThan">
      <formula>0</formula>
    </cfRule>
  </conditionalFormatting>
  <conditionalFormatting sqref="L5:L20 L22:L52 L54:L83 L85:L115 L117:L138">
    <cfRule type="cellIs" dxfId="9" priority="21" operator="equal">
      <formula>0</formula>
    </cfRule>
  </conditionalFormatting>
  <conditionalFormatting sqref="L5:L138">
    <cfRule type="cellIs" dxfId="8" priority="26" operator="greaterThan">
      <formula>0</formula>
    </cfRule>
  </conditionalFormatting>
  <conditionalFormatting sqref="O5:O20 O22:O52 O54:O83 O85:O115 O117:O138">
    <cfRule type="cellIs" dxfId="7" priority="20" operator="equal">
      <formula>0</formula>
    </cfRule>
  </conditionalFormatting>
  <conditionalFormatting sqref="O5:O138">
    <cfRule type="cellIs" dxfId="6" priority="25" operator="greaterThan">
      <formula>0</formula>
    </cfRule>
  </conditionalFormatting>
  <conditionalFormatting sqref="R5:R20">
    <cfRule type="cellIs" dxfId="5" priority="15" operator="equal">
      <formula>0</formula>
    </cfRule>
  </conditionalFormatting>
  <conditionalFormatting sqref="R5:R138">
    <cfRule type="cellIs" dxfId="4" priority="2" operator="greaterThan">
      <formula>0</formula>
    </cfRule>
  </conditionalFormatting>
  <conditionalFormatting sqref="R22:R52">
    <cfRule type="cellIs" dxfId="3" priority="11" operator="equal">
      <formula>0</formula>
    </cfRule>
  </conditionalFormatting>
  <conditionalFormatting sqref="R54:R83">
    <cfRule type="cellIs" dxfId="2" priority="5" operator="equal">
      <formula>0</formula>
    </cfRule>
  </conditionalFormatting>
  <conditionalFormatting sqref="R85:R115">
    <cfRule type="cellIs" dxfId="1" priority="1" operator="equal">
      <formula>0</formula>
    </cfRule>
  </conditionalFormatting>
  <conditionalFormatting sqref="R117:R138">
    <cfRule type="cellIs" dxfId="0" priority="1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9"/>
  <sheetViews>
    <sheetView topLeftCell="C1" zoomScale="80" zoomScaleNormal="80" workbookViewId="0">
      <selection activeCell="G6" sqref="G6"/>
    </sheetView>
  </sheetViews>
  <sheetFormatPr defaultColWidth="10.85546875" defaultRowHeight="15" x14ac:dyDescent="0.25"/>
  <cols>
    <col min="1" max="1" width="2.5703125" style="14" customWidth="1"/>
    <col min="2" max="2" width="8.85546875" style="14" customWidth="1"/>
    <col min="3" max="3" width="9.85546875" style="14" customWidth="1"/>
    <col min="4" max="4" width="13" style="14" customWidth="1"/>
    <col min="5" max="5" width="150.5703125" style="14" customWidth="1"/>
    <col min="6" max="6" width="2.5703125" style="14" customWidth="1"/>
    <col min="7" max="7" width="13.5703125" style="14" customWidth="1"/>
    <col min="8" max="8" width="18.140625" style="14" customWidth="1"/>
    <col min="9" max="16384" width="10.85546875" style="14"/>
  </cols>
  <sheetData>
    <row r="1" spans="2:8" ht="12" customHeight="1" x14ac:dyDescent="0.25"/>
    <row r="2" spans="2:8" ht="15.95" customHeight="1" x14ac:dyDescent="0.25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5.95" customHeight="1" x14ac:dyDescent="0.25">
      <c r="B3" s="123"/>
      <c r="C3" s="123"/>
      <c r="D3" s="123"/>
      <c r="E3" s="123"/>
    </row>
    <row r="4" spans="2:8" ht="20.100000000000001" customHeight="1" x14ac:dyDescent="0.25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00000000000001" customHeight="1" x14ac:dyDescent="0.25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00000000000001" customHeight="1" x14ac:dyDescent="0.25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00000000000001" customHeight="1" x14ac:dyDescent="0.25">
      <c r="B7" s="124"/>
      <c r="C7" s="5"/>
      <c r="D7" s="81" t="s">
        <v>78</v>
      </c>
      <c r="E7" s="82" t="s">
        <v>79</v>
      </c>
    </row>
    <row r="8" spans="2:8" ht="20.100000000000001" customHeight="1" x14ac:dyDescent="0.25">
      <c r="B8" s="124"/>
      <c r="C8" s="5"/>
      <c r="D8" s="81" t="s">
        <v>80</v>
      </c>
      <c r="E8" s="82" t="s">
        <v>81</v>
      </c>
    </row>
    <row r="9" spans="2:8" ht="20.100000000000001" customHeight="1" x14ac:dyDescent="0.25">
      <c r="B9" s="124"/>
      <c r="C9" s="5"/>
      <c r="D9" s="81" t="s">
        <v>82</v>
      </c>
      <c r="E9" s="82" t="s">
        <v>83</v>
      </c>
    </row>
    <row r="10" spans="2:8" ht="20.100000000000001" customHeight="1" x14ac:dyDescent="0.25">
      <c r="B10" s="124"/>
      <c r="C10" s="5"/>
      <c r="D10" s="81" t="s">
        <v>84</v>
      </c>
      <c r="E10" s="82" t="s">
        <v>85</v>
      </c>
    </row>
    <row r="11" spans="2:8" ht="20.100000000000001" customHeight="1" x14ac:dyDescent="0.25">
      <c r="B11" s="124"/>
      <c r="C11" s="5"/>
      <c r="D11" s="81" t="s">
        <v>86</v>
      </c>
      <c r="E11" s="82" t="s">
        <v>87</v>
      </c>
    </row>
    <row r="12" spans="2:8" ht="20.100000000000001" customHeight="1" x14ac:dyDescent="0.25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00000000000001" customHeight="1" x14ac:dyDescent="0.25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00000000000001" customHeight="1" x14ac:dyDescent="0.25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00000000000001" customHeight="1" x14ac:dyDescent="0.25">
      <c r="B15" s="122"/>
      <c r="C15" s="88">
        <v>5</v>
      </c>
      <c r="D15" s="85" t="s">
        <v>94</v>
      </c>
      <c r="E15" s="89" t="s">
        <v>95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00000000-0004-0000-0600-000000000000}"/>
    <hyperlink ref="E13" r:id="rId2" xr:uid="{00000000-0004-0000-0600-000001000000}"/>
    <hyperlink ref="E14" r:id="rId3" xr:uid="{00000000-0004-0000-0600-000002000000}"/>
    <hyperlink ref="E15" r:id="rId4" xr:uid="{00000000-0004-0000-06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Wenjie Chen</cp:lastModifiedBy>
  <cp:revision/>
  <dcterms:created xsi:type="dcterms:W3CDTF">2026-04-16T14:32:42Z</dcterms:created>
  <dcterms:modified xsi:type="dcterms:W3CDTF">2026-06-06T17:53:10Z</dcterms:modified>
  <cp:category/>
  <cp:contentStatus/>
</cp:coreProperties>
</file>