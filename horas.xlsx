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wenji\Desktop\DSA\EA_ViveBook_TeamManagement\"/>
    </mc:Choice>
  </mc:AlternateContent>
  <xr:revisionPtr revIDLastSave="0" documentId="13_ncr:1_{D70ECCAC-E387-4FB6-9E70-DC4FC229EC07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GLOBAL" sheetId="1" r:id="rId1"/>
    <sheet name="ALBA" sheetId="3" r:id="rId2"/>
    <sheet name="MARC" sheetId="4" r:id="rId3"/>
    <sheet name="MUYE" sheetId="5" r:id="rId4"/>
    <sheet name="VICTOR" sheetId="2" r:id="rId5"/>
    <sheet name="WENJIE" sheetId="6" r:id="rId6"/>
    <sheet name="SCRUM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" l="1"/>
  <c r="H10" i="1"/>
  <c r="F10" i="1"/>
  <c r="H12" i="1"/>
  <c r="H14" i="1"/>
  <c r="H8" i="1"/>
  <c r="F14" i="1"/>
  <c r="F12" i="1"/>
  <c r="F8" i="1"/>
  <c r="F6" i="1"/>
  <c r="E14" i="1"/>
  <c r="E12" i="1"/>
  <c r="E10" i="1"/>
  <c r="E8" i="1"/>
  <c r="E6" i="1"/>
  <c r="D14" i="1"/>
  <c r="D12" i="1"/>
  <c r="D10" i="1"/>
  <c r="D8" i="1"/>
  <c r="D6" i="1"/>
  <c r="G8" i="1"/>
  <c r="G14" i="1"/>
  <c r="G12" i="1"/>
  <c r="G10" i="1"/>
  <c r="G6" i="1"/>
  <c r="F16" i="1" l="1"/>
  <c r="J14" i="1"/>
  <c r="H16" i="1"/>
  <c r="E16" i="1"/>
  <c r="J12" i="1"/>
  <c r="J10" i="1"/>
  <c r="J8" i="1"/>
  <c r="D16" i="1"/>
  <c r="G16" i="1"/>
  <c r="J6" i="1"/>
  <c r="J16" i="1" l="1"/>
</calcChain>
</file>

<file path=xl/sharedStrings.xml><?xml version="1.0" encoding="utf-8"?>
<sst xmlns="http://schemas.openxmlformats.org/spreadsheetml/2006/main" count="253" uniqueCount="110">
  <si>
    <t>UPC - EETAC - EA-M QP2526 Grup 3: Còmput de les hores de treball del projecte ViveBook</t>
  </si>
  <si>
    <t>Secció</t>
  </si>
  <si>
    <t>Alba</t>
  </si>
  <si>
    <t>Marc</t>
  </si>
  <si>
    <t>Muye</t>
  </si>
  <si>
    <t>Victor</t>
  </si>
  <si>
    <t>Wenjie</t>
  </si>
  <si>
    <t>Grup</t>
  </si>
  <si>
    <t>Backend</t>
  </si>
  <si>
    <t>BackOffice</t>
  </si>
  <si>
    <t>App Web</t>
  </si>
  <si>
    <t>App Mobile</t>
  </si>
  <si>
    <t>Gestió</t>
  </si>
  <si>
    <t>Total</t>
  </si>
  <si>
    <t>ALBA</t>
  </si>
  <si>
    <t>BACKEND</t>
  </si>
  <si>
    <t>BACKOFFICE</t>
  </si>
  <si>
    <t>APP WEB</t>
  </si>
  <si>
    <t>APP MOBILE</t>
  </si>
  <si>
    <t>GESTIÓ I DOCUMENTACIÓ</t>
  </si>
  <si>
    <t>FEBRER</t>
  </si>
  <si>
    <t>Seminari 1: JavaScript</t>
  </si>
  <si>
    <t>Seminari 2: Git</t>
  </si>
  <si>
    <t>Seminari 3 y 4: TypeScript y MongoDB</t>
  </si>
  <si>
    <t>Meetting</t>
  </si>
  <si>
    <t>MARÇ</t>
  </si>
  <si>
    <t>Seminari 5: APIRest</t>
  </si>
  <si>
    <t>Seminari 6: Angular</t>
  </si>
  <si>
    <t>Planificació SPRINT 1</t>
  </si>
  <si>
    <t>Seminari 7: JWT</t>
  </si>
  <si>
    <t>Desenvolupament classe Libros</t>
  </si>
  <si>
    <t>Planificació SPRINT 2</t>
  </si>
  <si>
    <t>Seminari 8: React</t>
  </si>
  <si>
    <t>Seminari 8: React Natiu</t>
  </si>
  <si>
    <t>ABRIL</t>
  </si>
  <si>
    <t>Connexions WebApp</t>
  </si>
  <si>
    <t>Estructuració WebApp</t>
  </si>
  <si>
    <t>Seminari Flutter</t>
  </si>
  <si>
    <t>MAIG</t>
  </si>
  <si>
    <t>Seminari DevOps I</t>
  </si>
  <si>
    <t>JUNY</t>
  </si>
  <si>
    <t>MARC</t>
  </si>
  <si>
    <t>Desenvolupament classe Autores</t>
  </si>
  <si>
    <t>MUYE</t>
  </si>
  <si>
    <t>Seminari 7: JWT + Soft Delete</t>
  </si>
  <si>
    <t>Soft Delete</t>
  </si>
  <si>
    <t>Adaptació JWT al Login / Register</t>
  </si>
  <si>
    <t>Login / Register</t>
  </si>
  <si>
    <t>VICTOR</t>
  </si>
  <si>
    <t>Connexió Backoffice amb el Backend</t>
  </si>
  <si>
    <t>Disseny i estructuració del BackOffice</t>
  </si>
  <si>
    <t>Paginació al Frontend</t>
  </si>
  <si>
    <t>Planificació SPRINT 2 + GHERKIN</t>
  </si>
  <si>
    <t>WENJIE</t>
  </si>
  <si>
    <t>Desenvolupament classe Usuari</t>
  </si>
  <si>
    <t>Busqueda de libro por ISBN</t>
  </si>
  <si>
    <t>Implementaó JWT</t>
  </si>
  <si>
    <t>Agregar libro por isbn</t>
  </si>
  <si>
    <t>Versió preliminar App Mobile</t>
  </si>
  <si>
    <t>Libro service updated, post routes, controller and service implemented</t>
  </si>
  <si>
    <t>devops</t>
  </si>
  <si>
    <t>Joi fixes</t>
  </si>
  <si>
    <t>Posts page implemented</t>
  </si>
  <si>
    <t>SPRINT</t>
  </si>
  <si>
    <t>PUNTS</t>
  </si>
  <si>
    <t>REF.</t>
  </si>
  <si>
    <t>DESCRIPCIÓ</t>
  </si>
  <si>
    <t>S1.1</t>
  </si>
  <si>
    <t>Yo, como usuario del BackOffice, debería poder deshabilitar a un usuario.</t>
  </si>
  <si>
    <t>Scrum Master</t>
  </si>
  <si>
    <t>S1.2</t>
  </si>
  <si>
    <t>Yo, como administrador de ViveBook, deberia poder gestionar la base de datos sin necesidad de tener conocimientos técnicos.</t>
  </si>
  <si>
    <t>Product Owner</t>
  </si>
  <si>
    <t>Alba i Marc</t>
  </si>
  <si>
    <t>S1.3</t>
  </si>
  <si>
    <t>Yo, como usuario admin, prefiero ver la información de forma paginada y organizada.</t>
  </si>
  <si>
    <t xml:space="preserve">Desenvolupament </t>
  </si>
  <si>
    <t>Wenjie i Muye</t>
  </si>
  <si>
    <t>S1.4</t>
  </si>
  <si>
    <t>Yo, como colaborador de este proyecto, debería ser capaz de organizar mis versiones de forma clara y práctica.</t>
  </si>
  <si>
    <t>S1.5</t>
  </si>
  <si>
    <t>Yo, como consumidor de la RestAPI, debería ser capaz de hacer cualquier consulta sobre Libros.</t>
  </si>
  <si>
    <t>S1.6</t>
  </si>
  <si>
    <t>Yo, como consumidor de la RestAPI, debería ser capaz de hacer cualquier consulta sobre Autores.</t>
  </si>
  <si>
    <t>S1.7</t>
  </si>
  <si>
    <t>Yo, como consumidor de la RestAPI, debería ser capaz de hacer cualquier consulta sobre Usuarios.</t>
  </si>
  <si>
    <t>S1.8</t>
  </si>
  <si>
    <t>Yo, como usuario, sea capaz de hacer un post a partir de un isbn y que se rellene los datos del libro automaticamente.</t>
  </si>
  <si>
    <t>S2.1</t>
  </si>
  <si>
    <t>Como usuario registrado, quiero autenticarme mediante JWT para acceder de forma segura a las funcionalidades privadas de la WebApp.</t>
  </si>
  <si>
    <t>S2.2</t>
  </si>
  <si>
    <t>Como usuario registrado, quiero iniciar sesión en la WebApp para acceder a mi cuenta y a las funcionalidades privadas.</t>
  </si>
  <si>
    <t>S2.3</t>
  </si>
  <si>
    <t>Como visitante, quiero crear una cuenta en la WebApp para poder acceder a las funcionalidades privadas como usuario registrado.</t>
  </si>
  <si>
    <t>S2.4</t>
  </si>
  <si>
    <t>Como usuario, quiero una interfaz clara y usable para navegar y utilizar la aplicación de forma sencilla.</t>
  </si>
  <si>
    <t>0.5</t>
  </si>
  <si>
    <t>Backend Validation fix</t>
  </si>
  <si>
    <t>Posts page updated</t>
  </si>
  <si>
    <t>Posts section implemented</t>
  </si>
  <si>
    <t>Actualizar imagen Vivebook-Backend</t>
  </si>
  <si>
    <t>Busqueda por indice para usuarios, libros y posts</t>
  </si>
  <si>
    <t>Cloudinary</t>
  </si>
  <si>
    <t>SearchPage</t>
  </si>
  <si>
    <t>Cloudinary documentacion y api</t>
  </si>
  <si>
    <t>Cloudinary signature as token</t>
  </si>
  <si>
    <t>Emulator branch fixes</t>
  </si>
  <si>
    <t>Some fixes</t>
  </si>
  <si>
    <t>Image Service and some fixes</t>
  </si>
  <si>
    <t>ImageService implemented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</si>
</sst>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theme="1"/>
      <name val="Aptos"/>
      <family val="2"/>
    </font>
    <font>
      <b/>
      <sz val="14"/>
      <color theme="1"/>
      <name val="Aptos"/>
      <family val="2"/>
    </font>
    <font>
      <sz val="8"/>
      <name val="Aptos Narrow"/>
      <family val="2"/>
      <scheme val="minor"/>
    </font>
    <font>
      <b/>
      <sz val="14"/>
      <color theme="0"/>
      <name val="Aptos"/>
      <family val="2"/>
    </font>
    <font>
      <b/>
      <sz val="10"/>
      <color theme="5" tint="-0.499984740745262"/>
      <name val="Aptos"/>
      <family val="2"/>
    </font>
    <font>
      <sz val="9"/>
      <color theme="1"/>
      <name val="Aptos"/>
      <family val="2"/>
    </font>
    <font>
      <b/>
      <sz val="9"/>
      <color theme="1"/>
      <name val="Aptos"/>
      <family val="2"/>
    </font>
    <font>
      <b/>
      <sz val="9"/>
      <color theme="0"/>
      <name val="Aptos"/>
      <family val="2"/>
    </font>
    <font>
      <b/>
      <sz val="11"/>
      <color theme="0"/>
      <name val="Aptos"/>
      <family val="2"/>
    </font>
    <font>
      <b/>
      <sz val="9"/>
      <color theme="8" tint="0.79998168889431442"/>
      <name val="Aptos"/>
      <family val="2"/>
    </font>
    <font>
      <b/>
      <sz val="9"/>
      <color theme="7" tint="0.79998168889431442"/>
      <name val="Aptos"/>
      <family val="2"/>
    </font>
    <font>
      <b/>
      <sz val="9"/>
      <color theme="6" tint="0.79998168889431442"/>
      <name val="Aptos"/>
      <family val="2"/>
    </font>
    <font>
      <b/>
      <sz val="9"/>
      <color theme="5" tint="0.79998168889431442"/>
      <name val="Aptos"/>
      <family val="2"/>
    </font>
    <font>
      <b/>
      <sz val="11"/>
      <color theme="5" tint="0.79998168889431442"/>
      <name val="Aptos"/>
      <family val="2"/>
    </font>
    <font>
      <sz val="9"/>
      <color theme="5" tint="-0.499984740745262"/>
      <name val="Aptos"/>
      <family val="2"/>
    </font>
    <font>
      <sz val="11"/>
      <color theme="5" tint="-0.499984740745262"/>
      <name val="Aptos"/>
      <family val="2"/>
    </font>
    <font>
      <sz val="11"/>
      <color theme="6" tint="-0.499984740745262"/>
      <name val="Aptos"/>
      <family val="2"/>
    </font>
    <font>
      <sz val="9"/>
      <color theme="6" tint="-0.499984740745262"/>
      <name val="Aptos"/>
      <family val="2"/>
    </font>
    <font>
      <sz val="11"/>
      <color theme="7" tint="-0.499984740745262"/>
      <name val="Aptos"/>
      <family val="2"/>
    </font>
    <font>
      <sz val="9"/>
      <color theme="7" tint="-0.499984740745262"/>
      <name val="Aptos"/>
      <family val="2"/>
    </font>
    <font>
      <sz val="11"/>
      <color theme="8" tint="-0.499984740745262"/>
      <name val="Aptos"/>
      <family val="2"/>
    </font>
    <font>
      <sz val="9"/>
      <color theme="8" tint="-0.499984740745262"/>
      <name val="Aptos"/>
      <family val="2"/>
    </font>
    <font>
      <b/>
      <sz val="9"/>
      <color theme="9" tint="0.79998168889431442"/>
      <name val="Aptos"/>
      <family val="2"/>
    </font>
    <font>
      <sz val="11"/>
      <color theme="9" tint="-0.499984740745262"/>
      <name val="Aptos"/>
      <family val="2"/>
    </font>
    <font>
      <sz val="9"/>
      <color theme="9" tint="-0.499984740745262"/>
      <name val="Aptos"/>
      <family val="2"/>
    </font>
    <font>
      <b/>
      <sz val="9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10"/>
      <color theme="1"/>
      <name val="Aptos"/>
      <family val="2"/>
    </font>
    <font>
      <b/>
      <sz val="10"/>
      <color theme="5" tint="-0.249977111117893"/>
      <name val="Aptos"/>
      <family val="2"/>
    </font>
    <font>
      <b/>
      <sz val="10"/>
      <color theme="5" tint="-0.499984740745262"/>
      <name val="Aptos Narrow"/>
      <family val="2"/>
      <scheme val="minor"/>
    </font>
    <font>
      <b/>
      <sz val="10"/>
      <color theme="6" tint="-0.499984740745262"/>
      <name val="Aptos"/>
      <family val="2"/>
    </font>
    <font>
      <b/>
      <sz val="10"/>
      <color theme="6" tint="-0.499984740745262"/>
      <name val="Aptos Narrow"/>
      <family val="2"/>
      <scheme val="minor"/>
    </font>
    <font>
      <b/>
      <sz val="10"/>
      <color theme="6" tint="-0.249977111117893"/>
      <name val="Aptos"/>
      <family val="2"/>
    </font>
    <font>
      <b/>
      <sz val="10"/>
      <color theme="7" tint="-0.499984740745262"/>
      <name val="Aptos"/>
      <family val="2"/>
    </font>
    <font>
      <b/>
      <sz val="10"/>
      <color theme="7" tint="-0.499984740745262"/>
      <name val="Aptos Narrow"/>
      <family val="2"/>
      <scheme val="minor"/>
    </font>
    <font>
      <b/>
      <sz val="10"/>
      <color theme="7" tint="-0.249977111117893"/>
      <name val="Aptos"/>
      <family val="2"/>
    </font>
    <font>
      <b/>
      <sz val="10"/>
      <color theme="8" tint="-0.499984740745262"/>
      <name val="Aptos"/>
      <family val="2"/>
    </font>
    <font>
      <b/>
      <sz val="10"/>
      <color theme="8" tint="-0.499984740745262"/>
      <name val="Aptos Narrow"/>
      <family val="2"/>
      <scheme val="minor"/>
    </font>
    <font>
      <b/>
      <sz val="10"/>
      <color theme="8" tint="-0.249977111117893"/>
      <name val="Aptos"/>
      <family val="2"/>
    </font>
    <font>
      <b/>
      <sz val="10"/>
      <color theme="9" tint="-0.249977111117893"/>
      <name val="Aptos"/>
      <family val="2"/>
    </font>
    <font>
      <b/>
      <sz val="10"/>
      <color theme="9" tint="-0.499984740745262"/>
      <name val="Aptos Narrow"/>
      <family val="2"/>
      <scheme val="minor"/>
    </font>
    <font>
      <b/>
      <sz val="10"/>
      <color theme="0"/>
      <name val="Aptos"/>
      <family val="2"/>
    </font>
    <font>
      <b/>
      <sz val="15"/>
      <color theme="0"/>
      <name val="Aptos"/>
      <family val="2"/>
    </font>
    <font>
      <b/>
      <sz val="20"/>
      <color theme="0"/>
      <name val="Aptos"/>
      <family val="2"/>
    </font>
    <font>
      <b/>
      <sz val="20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3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theme="5" tint="-0.499984740745262"/>
      </left>
      <right style="medium">
        <color theme="5" tint="-0.499984740745262"/>
      </right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 tint="-0.499984740745262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 style="medium">
        <color theme="7" tint="-0.499984740745262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8" tint="-0.499984740745262"/>
      </left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medium">
        <color theme="5" tint="-0.499984740745262"/>
      </left>
      <right style="thin">
        <color theme="0"/>
      </right>
      <top style="medium">
        <color theme="5" tint="-0.499984740745262"/>
      </top>
      <bottom style="medium">
        <color theme="5" tint="-0.499984740745262"/>
      </bottom>
      <diagonal/>
    </border>
    <border>
      <left style="thin">
        <color theme="0"/>
      </left>
      <right style="thin">
        <color theme="0"/>
      </right>
      <top style="medium">
        <color theme="5" tint="-0.499984740745262"/>
      </top>
      <bottom style="medium">
        <color theme="5" tint="-0.499984740745262"/>
      </bottom>
      <diagonal/>
    </border>
    <border>
      <left style="thin">
        <color theme="0"/>
      </left>
      <right style="medium">
        <color theme="5" tint="-0.499984740745262"/>
      </right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 tint="-0.499984740745262"/>
      </left>
      <right style="thin">
        <color theme="0"/>
      </right>
      <top style="medium">
        <color theme="6" tint="-0.499984740745262"/>
      </top>
      <bottom style="medium">
        <color theme="6" tint="-0.499984740745262"/>
      </bottom>
      <diagonal/>
    </border>
    <border>
      <left style="thin">
        <color theme="0"/>
      </left>
      <right style="thin">
        <color theme="0"/>
      </right>
      <top style="medium">
        <color theme="6" tint="-0.499984740745262"/>
      </top>
      <bottom style="medium">
        <color theme="6" tint="-0.499984740745262"/>
      </bottom>
      <diagonal/>
    </border>
    <border>
      <left style="thin">
        <color theme="0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 style="medium">
        <color theme="7" tint="-0.499984740745262"/>
      </left>
      <right style="thin">
        <color theme="0"/>
      </right>
      <top style="medium">
        <color theme="7" tint="-0.499984740745262"/>
      </top>
      <bottom style="medium">
        <color theme="7" tint="-0.499984740745262"/>
      </bottom>
      <diagonal/>
    </border>
    <border>
      <left style="thin">
        <color theme="0"/>
      </left>
      <right style="thin">
        <color theme="0"/>
      </right>
      <top style="medium">
        <color theme="7" tint="-0.499984740745262"/>
      </top>
      <bottom style="medium">
        <color theme="7" tint="-0.499984740745262"/>
      </bottom>
      <diagonal/>
    </border>
    <border>
      <left style="thin">
        <color theme="0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9" tint="-0.499984740745262"/>
      </left>
      <right style="thin">
        <color theme="0"/>
      </right>
      <top style="medium">
        <color theme="9" tint="-0.499984740745262"/>
      </top>
      <bottom style="medium">
        <color theme="9" tint="-0.499984740745262"/>
      </bottom>
      <diagonal/>
    </border>
    <border>
      <left style="thin">
        <color theme="0"/>
      </left>
      <right style="thin">
        <color theme="0"/>
      </right>
      <top style="medium">
        <color theme="9" tint="-0.499984740745262"/>
      </top>
      <bottom style="medium">
        <color theme="9" tint="-0.499984740745262"/>
      </bottom>
      <diagonal/>
    </border>
    <border>
      <left style="thin">
        <color theme="0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 style="medium">
        <color theme="8" tint="-0.499984740745262"/>
      </left>
      <right style="thin">
        <color theme="0"/>
      </right>
      <top style="medium">
        <color theme="8" tint="-0.499984740745262"/>
      </top>
      <bottom style="medium">
        <color theme="8" tint="-0.499984740745262"/>
      </bottom>
      <diagonal/>
    </border>
    <border>
      <left style="thin">
        <color theme="0"/>
      </left>
      <right style="thin">
        <color theme="0"/>
      </right>
      <top style="medium">
        <color theme="8" tint="-0.499984740745262"/>
      </top>
      <bottom style="medium">
        <color theme="8" tint="-0.499984740745262"/>
      </bottom>
      <diagonal/>
    </border>
    <border>
      <left style="thin">
        <color theme="0"/>
      </left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  <border>
      <left style="medium">
        <color theme="5" tint="-0.499984740745262"/>
      </left>
      <right style="medium">
        <color theme="5" tint="-0.499984740745262"/>
      </right>
      <top/>
      <bottom/>
      <diagonal/>
    </border>
    <border>
      <left style="medium">
        <color theme="6" tint="-0.499984740745262"/>
      </left>
      <right style="medium">
        <color theme="6" tint="-0.499984740745262"/>
      </right>
      <top/>
      <bottom/>
      <diagonal/>
    </border>
    <border>
      <left style="medium">
        <color theme="7" tint="-0.499984740745262"/>
      </left>
      <right style="medium">
        <color theme="7" tint="-0.499984740745262"/>
      </right>
      <top/>
      <bottom/>
      <diagonal/>
    </border>
    <border>
      <left style="medium">
        <color theme="8" tint="-0.499984740745262"/>
      </left>
      <right style="medium">
        <color theme="8" tint="-0.499984740745262"/>
      </right>
      <top/>
      <bottom/>
      <diagonal/>
    </border>
    <border>
      <left style="medium">
        <color theme="9" tint="-0.499984740745262"/>
      </left>
      <right style="medium">
        <color theme="9" tint="-0.499984740745262"/>
      </right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</borders>
  <cellStyleXfs count="2">
    <xf numFmtId="0" fontId="0" fillId="0" borderId="0"/>
    <xf numFmtId="0" fontId="51" fillId="0" borderId="0" applyNumberFormat="0" applyFill="0" applyBorder="0" applyAlignment="0" applyProtection="0"/>
  </cellStyleXfs>
  <cellXfs count="125">
    <xf numFmtId="0" fontId="0" fillId="0" borderId="0" xfId="0"/>
    <xf numFmtId="0" fontId="3" fillId="0" borderId="1" xfId="0" applyFont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/>
    <xf numFmtId="0" fontId="18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3" fillId="7" borderId="1" xfId="0" applyFont="1" applyFill="1" applyBorder="1"/>
    <xf numFmtId="0" fontId="17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vertical="center" textRotation="90"/>
    </xf>
    <xf numFmtId="0" fontId="27" fillId="0" borderId="1" xfId="0" applyFont="1" applyBorder="1" applyAlignment="1">
      <alignment horizontal="center" vertical="center"/>
    </xf>
    <xf numFmtId="0" fontId="0" fillId="0" borderId="1" xfId="0" applyBorder="1"/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1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31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33" fillId="0" borderId="4" xfId="0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0" fillId="7" borderId="4" xfId="0" applyFont="1" applyFill="1" applyBorder="1" applyAlignment="1">
      <alignment horizontal="center" vertical="center"/>
    </xf>
    <xf numFmtId="0" fontId="8" fillId="6" borderId="7" xfId="0" applyFont="1" applyFill="1" applyBorder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34" fillId="7" borderId="28" xfId="0" applyFont="1" applyFill="1" applyBorder="1" applyAlignment="1">
      <alignment horizontal="center" vertical="center"/>
    </xf>
    <xf numFmtId="0" fontId="35" fillId="6" borderId="7" xfId="0" applyFont="1" applyFill="1" applyBorder="1" applyAlignment="1">
      <alignment horizontal="center" vertical="center"/>
    </xf>
    <xf numFmtId="0" fontId="34" fillId="7" borderId="6" xfId="0" applyFont="1" applyFill="1" applyBorder="1" applyAlignment="1">
      <alignment horizontal="center" vertical="center"/>
    </xf>
    <xf numFmtId="0" fontId="33" fillId="7" borderId="1" xfId="0" applyFont="1" applyFill="1" applyBorder="1" applyAlignment="1">
      <alignment horizontal="center" vertical="center"/>
    </xf>
    <xf numFmtId="0" fontId="33" fillId="7" borderId="6" xfId="0" applyFont="1" applyFill="1" applyBorder="1" applyAlignment="1">
      <alignment horizontal="center" vertical="center"/>
    </xf>
    <xf numFmtId="0" fontId="30" fillId="7" borderId="6" xfId="0" applyFont="1" applyFill="1" applyBorder="1" applyAlignment="1">
      <alignment horizontal="center" vertical="center"/>
    </xf>
    <xf numFmtId="0" fontId="36" fillId="12" borderId="8" xfId="0" applyFont="1" applyFill="1" applyBorder="1" applyAlignment="1">
      <alignment horizontal="center" vertical="center"/>
    </xf>
    <xf numFmtId="0" fontId="33" fillId="7" borderId="29" xfId="0" applyFont="1" applyFill="1" applyBorder="1" applyAlignment="1">
      <alignment horizontal="center" vertical="center"/>
    </xf>
    <xf numFmtId="0" fontId="37" fillId="12" borderId="8" xfId="0" applyFont="1" applyFill="1" applyBorder="1" applyAlignment="1">
      <alignment horizontal="center" vertical="center"/>
    </xf>
    <xf numFmtId="0" fontId="38" fillId="7" borderId="6" xfId="0" applyFont="1" applyFill="1" applyBorder="1" applyAlignment="1">
      <alignment horizontal="center" vertical="center"/>
    </xf>
    <xf numFmtId="0" fontId="39" fillId="14" borderId="9" xfId="0" applyFont="1" applyFill="1" applyBorder="1" applyAlignment="1">
      <alignment horizontal="center" vertical="center"/>
    </xf>
    <xf numFmtId="0" fontId="33" fillId="7" borderId="30" xfId="0" applyFont="1" applyFill="1" applyBorder="1" applyAlignment="1">
      <alignment horizontal="center" vertical="center"/>
    </xf>
    <xf numFmtId="0" fontId="40" fillId="14" borderId="9" xfId="0" applyFont="1" applyFill="1" applyBorder="1" applyAlignment="1">
      <alignment horizontal="center" vertical="center"/>
    </xf>
    <xf numFmtId="0" fontId="41" fillId="7" borderId="6" xfId="0" applyFont="1" applyFill="1" applyBorder="1" applyAlignment="1">
      <alignment horizontal="center" vertical="center"/>
    </xf>
    <xf numFmtId="0" fontId="42" fillId="15" borderId="10" xfId="0" applyFont="1" applyFill="1" applyBorder="1" applyAlignment="1">
      <alignment horizontal="center" vertical="center"/>
    </xf>
    <xf numFmtId="0" fontId="33" fillId="7" borderId="31" xfId="0" applyFont="1" applyFill="1" applyBorder="1" applyAlignment="1">
      <alignment horizontal="center" vertical="center"/>
    </xf>
    <xf numFmtId="0" fontId="43" fillId="15" borderId="10" xfId="0" applyFont="1" applyFill="1" applyBorder="1" applyAlignment="1">
      <alignment horizontal="center" vertical="center"/>
    </xf>
    <xf numFmtId="0" fontId="44" fillId="7" borderId="6" xfId="0" applyFont="1" applyFill="1" applyBorder="1" applyAlignment="1">
      <alignment horizontal="center" vertical="center"/>
    </xf>
    <xf numFmtId="0" fontId="45" fillId="16" borderId="11" xfId="0" applyFont="1" applyFill="1" applyBorder="1" applyAlignment="1">
      <alignment horizontal="center" vertical="center"/>
    </xf>
    <xf numFmtId="0" fontId="33" fillId="7" borderId="32" xfId="0" applyFont="1" applyFill="1" applyBorder="1" applyAlignment="1">
      <alignment horizontal="center" vertical="center"/>
    </xf>
    <xf numFmtId="0" fontId="46" fillId="16" borderId="11" xfId="0" applyFont="1" applyFill="1" applyBorder="1" applyAlignment="1">
      <alignment horizontal="center" vertical="center"/>
    </xf>
    <xf numFmtId="0" fontId="33" fillId="0" borderId="5" xfId="0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3" fillId="7" borderId="5" xfId="0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47" fillId="2" borderId="1" xfId="0" applyFont="1" applyFill="1" applyBorder="1" applyAlignment="1">
      <alignment horizontal="center" vertical="center"/>
    </xf>
    <xf numFmtId="0" fontId="11" fillId="17" borderId="1" xfId="0" applyFont="1" applyFill="1" applyBorder="1" applyAlignment="1">
      <alignment horizontal="center" vertical="center"/>
    </xf>
    <xf numFmtId="0" fontId="21" fillId="12" borderId="1" xfId="0" applyFont="1" applyFill="1" applyBorder="1" applyAlignment="1">
      <alignment horizontal="center" vertical="center"/>
    </xf>
    <xf numFmtId="0" fontId="23" fillId="14" borderId="1" xfId="0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center" vertical="center"/>
    </xf>
    <xf numFmtId="0" fontId="28" fillId="16" borderId="1" xfId="0" applyFont="1" applyFill="1" applyBorder="1" applyAlignment="1">
      <alignment horizontal="center" vertical="center"/>
    </xf>
    <xf numFmtId="0" fontId="34" fillId="6" borderId="13" xfId="0" applyFont="1" applyFill="1" applyBorder="1" applyAlignment="1">
      <alignment horizontal="center" vertical="center"/>
    </xf>
    <xf numFmtId="0" fontId="34" fillId="6" borderId="14" xfId="0" applyFont="1" applyFill="1" applyBorder="1" applyAlignment="1">
      <alignment horizontal="center" vertical="center"/>
    </xf>
    <xf numFmtId="0" fontId="34" fillId="6" borderId="15" xfId="0" applyFont="1" applyFill="1" applyBorder="1" applyAlignment="1">
      <alignment horizontal="center" vertical="center"/>
    </xf>
    <xf numFmtId="0" fontId="33" fillId="12" borderId="16" xfId="0" applyFont="1" applyFill="1" applyBorder="1" applyAlignment="1">
      <alignment horizontal="center" vertical="center"/>
    </xf>
    <xf numFmtId="0" fontId="33" fillId="12" borderId="17" xfId="0" applyFont="1" applyFill="1" applyBorder="1" applyAlignment="1">
      <alignment horizontal="center" vertical="center"/>
    </xf>
    <xf numFmtId="0" fontId="33" fillId="12" borderId="18" xfId="0" applyFont="1" applyFill="1" applyBorder="1" applyAlignment="1">
      <alignment horizontal="center" vertical="center"/>
    </xf>
    <xf numFmtId="0" fontId="33" fillId="14" borderId="19" xfId="0" applyFont="1" applyFill="1" applyBorder="1" applyAlignment="1">
      <alignment horizontal="center" vertical="center"/>
    </xf>
    <xf numFmtId="0" fontId="33" fillId="14" borderId="20" xfId="0" applyFont="1" applyFill="1" applyBorder="1" applyAlignment="1">
      <alignment horizontal="center" vertical="center"/>
    </xf>
    <xf numFmtId="0" fontId="33" fillId="14" borderId="21" xfId="0" applyFont="1" applyFill="1" applyBorder="1" applyAlignment="1">
      <alignment horizontal="center" vertical="center"/>
    </xf>
    <xf numFmtId="0" fontId="33" fillId="15" borderId="25" xfId="0" applyFont="1" applyFill="1" applyBorder="1" applyAlignment="1">
      <alignment horizontal="center" vertical="center"/>
    </xf>
    <xf numFmtId="0" fontId="33" fillId="15" borderId="26" xfId="0" applyFont="1" applyFill="1" applyBorder="1" applyAlignment="1">
      <alignment horizontal="center" vertical="center"/>
    </xf>
    <xf numFmtId="0" fontId="33" fillId="15" borderId="27" xfId="0" applyFont="1" applyFill="1" applyBorder="1" applyAlignment="1">
      <alignment horizontal="center" vertical="center"/>
    </xf>
    <xf numFmtId="0" fontId="33" fillId="16" borderId="22" xfId="0" applyFont="1" applyFill="1" applyBorder="1" applyAlignment="1">
      <alignment horizontal="center" vertical="center"/>
    </xf>
    <xf numFmtId="0" fontId="33" fillId="16" borderId="23" xfId="0" applyFont="1" applyFill="1" applyBorder="1" applyAlignment="1">
      <alignment horizontal="center" vertical="center"/>
    </xf>
    <xf numFmtId="0" fontId="33" fillId="16" borderId="24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5" fillId="18" borderId="1" xfId="0" applyFont="1" applyFill="1" applyBorder="1" applyAlignment="1">
      <alignment horizontal="center" vertical="center"/>
    </xf>
    <xf numFmtId="0" fontId="14" fillId="19" borderId="1" xfId="0" applyFont="1" applyFill="1" applyBorder="1" applyAlignment="1">
      <alignment horizontal="center" vertical="center"/>
    </xf>
    <xf numFmtId="0" fontId="13" fillId="20" borderId="1" xfId="0" applyFont="1" applyFill="1" applyBorder="1" applyAlignment="1">
      <alignment horizontal="center" vertical="center"/>
    </xf>
    <xf numFmtId="0" fontId="26" fillId="21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/>
    </xf>
    <xf numFmtId="0" fontId="32" fillId="3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9" fillId="13" borderId="1" xfId="0" applyFont="1" applyFill="1" applyBorder="1" applyAlignment="1">
      <alignment horizontal="center" vertical="center"/>
    </xf>
    <xf numFmtId="0" fontId="32" fillId="8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51" fillId="12" borderId="1" xfId="1" applyFill="1" applyBorder="1" applyAlignment="1">
      <alignment horizontal="left" vertical="center"/>
    </xf>
    <xf numFmtId="0" fontId="9" fillId="0" borderId="1" xfId="0" applyFont="1" applyBorder="1"/>
    <xf numFmtId="0" fontId="16" fillId="7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/>
    </xf>
    <xf numFmtId="0" fontId="9" fillId="7" borderId="1" xfId="0" applyFont="1" applyFill="1" applyBorder="1"/>
    <xf numFmtId="0" fontId="15" fillId="7" borderId="1" xfId="0" applyFont="1" applyFill="1" applyBorder="1" applyAlignment="1">
      <alignment horizontal="center" vertical="center"/>
    </xf>
    <xf numFmtId="0" fontId="21" fillId="7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23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25" fillId="7" borderId="1" xfId="0" applyFont="1" applyFill="1" applyBorder="1" applyAlignment="1">
      <alignment horizontal="center" vertical="center"/>
    </xf>
    <xf numFmtId="0" fontId="26" fillId="7" borderId="1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48" fillId="2" borderId="33" xfId="0" applyFont="1" applyFill="1" applyBorder="1" applyAlignment="1">
      <alignment horizontal="center" vertical="center"/>
    </xf>
    <xf numFmtId="0" fontId="48" fillId="2" borderId="34" xfId="0" applyFont="1" applyFill="1" applyBorder="1" applyAlignment="1">
      <alignment horizontal="center" vertical="center"/>
    </xf>
    <xf numFmtId="0" fontId="48" fillId="2" borderId="35" xfId="0" applyFont="1" applyFill="1" applyBorder="1" applyAlignment="1">
      <alignment horizontal="center" vertical="center"/>
    </xf>
    <xf numFmtId="0" fontId="48" fillId="2" borderId="36" xfId="0" applyFont="1" applyFill="1" applyBorder="1" applyAlignment="1">
      <alignment horizontal="center" vertical="center"/>
    </xf>
    <xf numFmtId="0" fontId="48" fillId="2" borderId="37" xfId="0" applyFont="1" applyFill="1" applyBorder="1" applyAlignment="1">
      <alignment horizontal="center" vertical="center"/>
    </xf>
    <xf numFmtId="0" fontId="48" fillId="2" borderId="38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 textRotation="90"/>
    </xf>
    <xf numFmtId="0" fontId="7" fillId="2" borderId="6" xfId="0" applyFont="1" applyFill="1" applyBorder="1" applyAlignment="1">
      <alignment horizontal="center" vertical="center" textRotation="90"/>
    </xf>
    <xf numFmtId="0" fontId="7" fillId="2" borderId="5" xfId="0" applyFont="1" applyFill="1" applyBorder="1" applyAlignment="1">
      <alignment horizontal="center" vertical="center" textRotation="90"/>
    </xf>
    <xf numFmtId="0" fontId="7" fillId="2" borderId="1" xfId="0" applyFont="1" applyFill="1" applyBorder="1" applyAlignment="1">
      <alignment horizontal="center" vertical="center" textRotation="90"/>
    </xf>
    <xf numFmtId="0" fontId="50" fillId="8" borderId="4" xfId="0" applyFont="1" applyFill="1" applyBorder="1" applyAlignment="1">
      <alignment horizontal="center" vertical="center"/>
    </xf>
    <xf numFmtId="0" fontId="50" fillId="8" borderId="6" xfId="0" applyFont="1" applyFill="1" applyBorder="1" applyAlignment="1">
      <alignment horizontal="center" vertical="center"/>
    </xf>
    <xf numFmtId="0" fontId="50" fillId="8" borderId="5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49" fillId="3" borderId="1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66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008000"/>
      <color rgb="FF00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HORES TOTALS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202-4B67-923C-40E8317063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202-4B67-923C-40E8317063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202-4B67-923C-40E8317063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202-4B67-923C-40E83170638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202-4B67-923C-40E83170638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(GLOBAL!$J$6,GLOBAL!$J$8,GLOBAL!$J$10,GLOBAL!$J$12,GLOBAL!$J$14)</c:f>
              <c:numCache>
                <c:formatCode>General</c:formatCode>
                <c:ptCount val="5"/>
                <c:pt idx="0">
                  <c:v>115.5</c:v>
                </c:pt>
                <c:pt idx="1">
                  <c:v>39.5</c:v>
                </c:pt>
                <c:pt idx="2">
                  <c:v>37</c:v>
                </c:pt>
                <c:pt idx="3">
                  <c:v>74.5</c:v>
                </c:pt>
                <c:pt idx="4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A7-468D-8D7D-38DDB2193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ALBA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1A0-45C2-AA91-1B64D56EB3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1A0-45C2-AA91-1B64D56EB3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1A0-45C2-AA91-1B64D56EB3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1A0-45C2-AA91-1B64D56EB3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1A0-45C2-AA91-1B64D56EB349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(GLOBAL!$D$6,GLOBAL!$D$8,GLOBAL!$D$10,GLOBAL!$D$12,GLOBAL!$D$14)</c:f>
              <c:numCache>
                <c:formatCode>General</c:formatCode>
                <c:ptCount val="5"/>
                <c:pt idx="0">
                  <c:v>17</c:v>
                </c:pt>
                <c:pt idx="1">
                  <c:v>5</c:v>
                </c:pt>
                <c:pt idx="2">
                  <c:v>6.5</c:v>
                </c:pt>
                <c:pt idx="3">
                  <c:v>22.5</c:v>
                </c:pt>
                <c:pt idx="4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1A0-45C2-AA91-1B64D56EB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MARC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63C-448D-96B4-13656258F8B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63C-448D-96B4-13656258F8B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63C-448D-96B4-13656258F8B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63C-448D-96B4-13656258F8B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63C-448D-96B4-13656258F8B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(GLOBAL!$E$6,GLOBAL!$E$8,GLOBAL!$E$10,GLOBAL!$E$12,GLOBAL!$E$14)</c:f>
              <c:numCache>
                <c:formatCode>General</c:formatCode>
                <c:ptCount val="5"/>
                <c:pt idx="0">
                  <c:v>21</c:v>
                </c:pt>
                <c:pt idx="1">
                  <c:v>8</c:v>
                </c:pt>
                <c:pt idx="2">
                  <c:v>11.5</c:v>
                </c:pt>
                <c:pt idx="3">
                  <c:v>9.5</c:v>
                </c:pt>
                <c:pt idx="4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63C-448D-96B4-13656258F8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MUYE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6A7-4880-B2D2-9B38B285778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6A7-4880-B2D2-9B38B285778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6A7-4880-B2D2-9B38B285778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6A7-4880-B2D2-9B38B285778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6A7-4880-B2D2-9B38B285778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(GLOBAL!$F$6,GLOBAL!$F$8,GLOBAL!$F$10,GLOBAL!$F$12,GLOBAL!$F$14)</c:f>
              <c:numCache>
                <c:formatCode>General</c:formatCode>
                <c:ptCount val="5"/>
                <c:pt idx="0">
                  <c:v>27</c:v>
                </c:pt>
                <c:pt idx="1">
                  <c:v>5</c:v>
                </c:pt>
                <c:pt idx="2">
                  <c:v>4.5</c:v>
                </c:pt>
                <c:pt idx="3">
                  <c:v>19.5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6A7-4880-B2D2-9B38B28577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VICTOR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E38-4DB5-ACBE-F5EB69E3F75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E38-4DB5-ACBE-F5EB69E3F75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E38-4DB5-ACBE-F5EB69E3F75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E38-4DB5-ACBE-F5EB69E3F75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E38-4DB5-ACBE-F5EB69E3F75F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(GLOBAL!$G$6,GLOBAL!$G$8,GLOBAL!$G$10,GLOBAL!$G$12,GLOBAL!$G$14)</c:f>
              <c:numCache>
                <c:formatCode>General</c:formatCode>
                <c:ptCount val="5"/>
                <c:pt idx="0">
                  <c:v>19.5</c:v>
                </c:pt>
                <c:pt idx="1">
                  <c:v>15</c:v>
                </c:pt>
                <c:pt idx="2">
                  <c:v>6.5</c:v>
                </c:pt>
                <c:pt idx="3">
                  <c:v>4.5</c:v>
                </c:pt>
                <c:pt idx="4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E38-4DB5-ACBE-F5EB69E3F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WENJIE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1B6-4A9C-B4E4-BF935837EC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1B6-4A9C-B4E4-BF935837EC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1B6-4A9C-B4E4-BF935837EC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1B6-4A9C-B4E4-BF935837EC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1B6-4A9C-B4E4-BF935837EC3B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(GLOBAL!$H$6,GLOBAL!$H$8,GLOBAL!$H$10,GLOBAL!$H$12,GLOBAL!$H$14)</c:f>
              <c:numCache>
                <c:formatCode>General</c:formatCode>
                <c:ptCount val="5"/>
                <c:pt idx="0">
                  <c:v>31</c:v>
                </c:pt>
                <c:pt idx="1">
                  <c:v>6.5</c:v>
                </c:pt>
                <c:pt idx="2">
                  <c:v>8</c:v>
                </c:pt>
                <c:pt idx="3">
                  <c:v>18.5</c:v>
                </c:pt>
                <c:pt idx="4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1B6-4A9C-B4E4-BF935837E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339725</xdr:colOff>
      <xdr:row>3</xdr:row>
      <xdr:rowOff>6350</xdr:rowOff>
    </xdr:from>
    <xdr:to>
      <xdr:col>15</xdr:col>
      <xdr:colOff>552450</xdr:colOff>
      <xdr:row>16</xdr:row>
      <xdr:rowOff>12700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CEA09F4-D4FE-9445-6FD0-12C5BE0ED9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31751</xdr:colOff>
      <xdr:row>17</xdr:row>
      <xdr:rowOff>114300</xdr:rowOff>
    </xdr:from>
    <xdr:to>
      <xdr:col>3</xdr:col>
      <xdr:colOff>209550</xdr:colOff>
      <xdr:row>26</xdr:row>
      <xdr:rowOff>165100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2D6247F-43EA-45A4-8278-9AD8FE8658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215901</xdr:colOff>
      <xdr:row>17</xdr:row>
      <xdr:rowOff>114300</xdr:rowOff>
    </xdr:from>
    <xdr:to>
      <xdr:col>6</xdr:col>
      <xdr:colOff>127001</xdr:colOff>
      <xdr:row>26</xdr:row>
      <xdr:rowOff>165100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BC29DC6-0B93-446F-8E9E-116E1D1852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133350</xdr:colOff>
      <xdr:row>17</xdr:row>
      <xdr:rowOff>114300</xdr:rowOff>
    </xdr:from>
    <xdr:to>
      <xdr:col>9</xdr:col>
      <xdr:colOff>654049</xdr:colOff>
      <xdr:row>26</xdr:row>
      <xdr:rowOff>165100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6738762-9A3C-4AE2-B035-ABDE35DC7B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654050</xdr:colOff>
      <xdr:row>17</xdr:row>
      <xdr:rowOff>114300</xdr:rowOff>
    </xdr:from>
    <xdr:to>
      <xdr:col>12</xdr:col>
      <xdr:colOff>704850</xdr:colOff>
      <xdr:row>26</xdr:row>
      <xdr:rowOff>165100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E52FBF1-DEC6-4509-B79C-91D51A1946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647701</xdr:colOff>
      <xdr:row>17</xdr:row>
      <xdr:rowOff>114300</xdr:rowOff>
    </xdr:from>
    <xdr:to>
      <xdr:col>15</xdr:col>
      <xdr:colOff>565151</xdr:colOff>
      <xdr:row>26</xdr:row>
      <xdr:rowOff>165100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CCE1E114-D70A-4221-AF24-13B56C9E1B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muyw1234/EA-ViveBook-Backend/issues/19" TargetMode="External"/><Relationship Id="rId2" Type="http://schemas.openxmlformats.org/officeDocument/2006/relationships/hyperlink" Target="https://github.com/muyw1234/EA-ViveBook-Backend/issues/18" TargetMode="External"/><Relationship Id="rId1" Type="http://schemas.openxmlformats.org/officeDocument/2006/relationships/hyperlink" Target="https://github.com/muyw1234/EA-ViveBook-Backend/issues/17" TargetMode="External"/><Relationship Id="rId4" Type="http://schemas.openxmlformats.org/officeDocument/2006/relationships/hyperlink" Target="https://github.com/muyw1234/EA-ViveBook-Backend/issues/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P22"/>
  <sheetViews>
    <sheetView topLeftCell="B3" zoomScaleNormal="100" workbookViewId="0">
      <selection activeCell="J17" sqref="J17"/>
    </sheetView>
  </sheetViews>
  <sheetFormatPr defaultColWidth="10.85546875" defaultRowHeight="15" x14ac:dyDescent="0.25"/>
  <cols>
    <col min="1" max="1" width="2.5703125" style="16" customWidth="1"/>
    <col min="2" max="2" width="24.140625" style="16" customWidth="1"/>
    <col min="3" max="3" width="2.5703125" style="16" customWidth="1"/>
    <col min="4" max="8" width="10.85546875" style="16"/>
    <col min="9" max="9" width="2.5703125" style="21" customWidth="1"/>
    <col min="10" max="15" width="10.85546875" style="16"/>
    <col min="16" max="16" width="7.85546875" style="16" customWidth="1"/>
    <col min="17" max="16384" width="10.85546875" style="16"/>
  </cols>
  <sheetData>
    <row r="2" spans="1:16" ht="20.100000000000001" customHeight="1" x14ac:dyDescent="0.25">
      <c r="B2" s="102" t="s">
        <v>0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4"/>
    </row>
    <row r="4" spans="1:16" ht="20.100000000000001" customHeight="1" x14ac:dyDescent="0.25">
      <c r="B4" s="18" t="s">
        <v>1</v>
      </c>
      <c r="C4" s="17"/>
      <c r="D4" s="18" t="s">
        <v>2</v>
      </c>
      <c r="E4" s="18" t="s">
        <v>3</v>
      </c>
      <c r="F4" s="18" t="s">
        <v>4</v>
      </c>
      <c r="G4" s="18" t="s">
        <v>5</v>
      </c>
      <c r="H4" s="18" t="s">
        <v>6</v>
      </c>
      <c r="I4" s="23"/>
      <c r="J4" s="18" t="s">
        <v>7</v>
      </c>
    </row>
    <row r="5" spans="1:16" ht="14.45" customHeight="1" thickBot="1" x14ac:dyDescent="0.3">
      <c r="B5" s="25"/>
      <c r="C5" s="17"/>
      <c r="D5" s="26"/>
      <c r="E5" s="26"/>
      <c r="F5" s="26"/>
      <c r="G5" s="26"/>
      <c r="H5" s="26"/>
      <c r="I5" s="27"/>
      <c r="J5" s="26"/>
    </row>
    <row r="6" spans="1:16" ht="20.100000000000001" customHeight="1" thickBot="1" x14ac:dyDescent="0.3">
      <c r="A6" s="19"/>
      <c r="B6" s="28" t="s">
        <v>8</v>
      </c>
      <c r="C6" s="29"/>
      <c r="D6" s="61">
        <f>SUM(ALBA!F5:F138)</f>
        <v>17</v>
      </c>
      <c r="E6" s="62">
        <f>SUM(MARC!F5:F138)</f>
        <v>21</v>
      </c>
      <c r="F6" s="62">
        <f>SUM(MUYE!F5:F138)</f>
        <v>27</v>
      </c>
      <c r="G6" s="62">
        <f>SUM(VICTOR!F5:F138)</f>
        <v>19.5</v>
      </c>
      <c r="H6" s="63">
        <f>SUM(WENJIE!F5:F138)</f>
        <v>31</v>
      </c>
      <c r="I6" s="30"/>
      <c r="J6" s="31">
        <f>SUM(D6:H6)</f>
        <v>115.5</v>
      </c>
      <c r="K6" s="20"/>
    </row>
    <row r="7" spans="1:16" s="21" customFormat="1" ht="15.95" customHeight="1" thickBot="1" x14ac:dyDescent="0.3">
      <c r="B7" s="32"/>
      <c r="C7" s="33"/>
      <c r="D7" s="34"/>
      <c r="E7" s="34"/>
      <c r="F7" s="34"/>
      <c r="G7" s="34"/>
      <c r="H7" s="34"/>
      <c r="I7" s="34"/>
      <c r="J7" s="35"/>
    </row>
    <row r="8" spans="1:16" ht="20.100000000000001" customHeight="1" thickBot="1" x14ac:dyDescent="0.3">
      <c r="A8" s="19"/>
      <c r="B8" s="36" t="s">
        <v>9</v>
      </c>
      <c r="C8" s="29"/>
      <c r="D8" s="64">
        <f>SUM(ALBA!I5:I138)</f>
        <v>5</v>
      </c>
      <c r="E8" s="65">
        <f>SUM(MARC!I5:I138)</f>
        <v>8</v>
      </c>
      <c r="F8" s="65">
        <f>SUM(MUYE!I5:I138)</f>
        <v>5</v>
      </c>
      <c r="G8" s="65">
        <f>SUM(VICTOR!I5:I138)</f>
        <v>15</v>
      </c>
      <c r="H8" s="66">
        <f>SUM(WENJIE!I5:I138)</f>
        <v>6.5</v>
      </c>
      <c r="I8" s="37"/>
      <c r="J8" s="38">
        <f>SUM(D8:H8)</f>
        <v>39.5</v>
      </c>
      <c r="K8" s="20"/>
    </row>
    <row r="9" spans="1:16" s="21" customFormat="1" ht="15.95" customHeight="1" thickBot="1" x14ac:dyDescent="0.3">
      <c r="B9" s="39"/>
      <c r="C9" s="33"/>
      <c r="D9" s="34"/>
      <c r="E9" s="34"/>
      <c r="F9" s="34"/>
      <c r="G9" s="34"/>
      <c r="H9" s="34"/>
      <c r="I9" s="34"/>
      <c r="J9" s="35"/>
    </row>
    <row r="10" spans="1:16" ht="20.100000000000001" customHeight="1" thickBot="1" x14ac:dyDescent="0.3">
      <c r="A10" s="19"/>
      <c r="B10" s="40" t="s">
        <v>10</v>
      </c>
      <c r="C10" s="29"/>
      <c r="D10" s="67">
        <f>SUM(ALBA!L5:L138)</f>
        <v>6.5</v>
      </c>
      <c r="E10" s="68">
        <f>SUM(MARC!L5:L138)</f>
        <v>11.5</v>
      </c>
      <c r="F10" s="68">
        <f>SUM(MUYE!L5:L138)</f>
        <v>4.5</v>
      </c>
      <c r="G10" s="68">
        <f>SUM(VICTOR!L5:L138)</f>
        <v>6.5</v>
      </c>
      <c r="H10" s="69">
        <f>SUM(WENJIE!L5:L138)</f>
        <v>8</v>
      </c>
      <c r="I10" s="41"/>
      <c r="J10" s="42">
        <f>SUM(D10:H10)</f>
        <v>37</v>
      </c>
      <c r="K10" s="20"/>
    </row>
    <row r="11" spans="1:16" s="21" customFormat="1" ht="15.95" customHeight="1" thickBot="1" x14ac:dyDescent="0.3">
      <c r="B11" s="43"/>
      <c r="C11" s="33"/>
      <c r="D11" s="34"/>
      <c r="E11" s="34"/>
      <c r="F11" s="34"/>
      <c r="G11" s="34"/>
      <c r="H11" s="34"/>
      <c r="I11" s="34"/>
      <c r="J11" s="35"/>
    </row>
    <row r="12" spans="1:16" ht="20.100000000000001" customHeight="1" thickBot="1" x14ac:dyDescent="0.3">
      <c r="A12" s="19"/>
      <c r="B12" s="44" t="s">
        <v>11</v>
      </c>
      <c r="C12" s="29"/>
      <c r="D12" s="70">
        <f>SUM(ALBA!O5:O138)</f>
        <v>22.5</v>
      </c>
      <c r="E12" s="71">
        <f>SUM(MARC!O5:O138)</f>
        <v>9.5</v>
      </c>
      <c r="F12" s="71">
        <f>SUM(MUYE!O5:O138)</f>
        <v>19.5</v>
      </c>
      <c r="G12" s="71">
        <f>SUM(VICTOR!O5:O138)</f>
        <v>4.5</v>
      </c>
      <c r="H12" s="72">
        <f>SUM(WENJIE!O5:O138)</f>
        <v>18.5</v>
      </c>
      <c r="I12" s="45"/>
      <c r="J12" s="46">
        <f>SUM(D12:H12)</f>
        <v>74.5</v>
      </c>
      <c r="K12" s="20"/>
    </row>
    <row r="13" spans="1:16" s="21" customFormat="1" ht="15.95" customHeight="1" thickBot="1" x14ac:dyDescent="0.3">
      <c r="B13" s="47"/>
      <c r="C13" s="33"/>
      <c r="D13" s="34"/>
      <c r="E13" s="34"/>
      <c r="F13" s="34"/>
      <c r="G13" s="34"/>
      <c r="H13" s="34"/>
      <c r="I13" s="34"/>
      <c r="J13" s="35"/>
    </row>
    <row r="14" spans="1:16" ht="20.100000000000001" customHeight="1" thickBot="1" x14ac:dyDescent="0.3">
      <c r="A14" s="19"/>
      <c r="B14" s="48" t="s">
        <v>12</v>
      </c>
      <c r="C14" s="29"/>
      <c r="D14" s="73">
        <f>SUM(ALBA!R5:R138)</f>
        <v>23</v>
      </c>
      <c r="E14" s="74">
        <f>SUM(MARC!R5:R138)</f>
        <v>22</v>
      </c>
      <c r="F14" s="74">
        <f>SUM(MUYE!R5:R138)</f>
        <v>17</v>
      </c>
      <c r="G14" s="74">
        <f>SUM(VICTOR!R5:R138)</f>
        <v>31</v>
      </c>
      <c r="H14" s="75">
        <f>SUM(WENJIE!R5:R138)</f>
        <v>24</v>
      </c>
      <c r="I14" s="49"/>
      <c r="J14" s="50">
        <f>SUM(D14:H14)</f>
        <v>117</v>
      </c>
      <c r="K14" s="20"/>
    </row>
    <row r="15" spans="1:16" ht="15.95" customHeight="1" x14ac:dyDescent="0.25">
      <c r="B15" s="51"/>
      <c r="C15" s="52"/>
      <c r="D15" s="51"/>
      <c r="E15" s="51"/>
      <c r="F15" s="51"/>
      <c r="G15" s="51"/>
      <c r="H15" s="51"/>
      <c r="I15" s="53"/>
      <c r="J15" s="54"/>
    </row>
    <row r="16" spans="1:16" ht="20.100000000000001" customHeight="1" x14ac:dyDescent="0.25">
      <c r="B16" s="55" t="s">
        <v>13</v>
      </c>
      <c r="C16" s="17"/>
      <c r="D16" s="18">
        <f t="shared" ref="D16:F16" si="0">SUM(D6:D14)</f>
        <v>74</v>
      </c>
      <c r="E16" s="18">
        <f t="shared" si="0"/>
        <v>72</v>
      </c>
      <c r="F16" s="18">
        <f t="shared" si="0"/>
        <v>73</v>
      </c>
      <c r="G16" s="18">
        <f>SUM(G6:G14)</f>
        <v>76.5</v>
      </c>
      <c r="H16" s="18">
        <f>SUM(H6:H14)</f>
        <v>88</v>
      </c>
      <c r="I16" s="23"/>
      <c r="J16" s="18">
        <f>SUM(D16:H16)</f>
        <v>383.5</v>
      </c>
    </row>
    <row r="22" spans="5:11" x14ac:dyDescent="0.25">
      <c r="E22" s="15"/>
      <c r="F22" s="15"/>
      <c r="G22" s="15"/>
      <c r="H22" s="15"/>
      <c r="I22" s="24"/>
      <c r="J22" s="15"/>
      <c r="K22" s="15"/>
    </row>
  </sheetData>
  <mergeCells count="1">
    <mergeCell ref="B2:P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S138"/>
  <sheetViews>
    <sheetView zoomScale="70" zoomScaleNormal="70" workbookViewId="0">
      <pane xSplit="5" ySplit="4" topLeftCell="F68" activePane="bottomRight" state="frozen"/>
      <selection pane="topRight" activeCell="F1" sqref="F1"/>
      <selection pane="bottomLeft" activeCell="A5" sqref="A5"/>
      <selection pane="bottomRight" activeCell="I81" sqref="I81"/>
    </sheetView>
  </sheetViews>
  <sheetFormatPr defaultColWidth="10.85546875" defaultRowHeight="15" x14ac:dyDescent="0.25"/>
  <cols>
    <col min="1" max="1" width="2.5703125" style="1" customWidth="1"/>
    <col min="2" max="2" width="6.140625" style="1" customWidth="1"/>
    <col min="3" max="3" width="2.5703125" style="1" customWidth="1"/>
    <col min="4" max="4" width="5.140625" style="2" customWidth="1"/>
    <col min="5" max="5" width="2.5703125" style="1" customWidth="1"/>
    <col min="6" max="6" width="5.140625" style="2" customWidth="1"/>
    <col min="7" max="7" width="35.5703125" style="6" customWidth="1"/>
    <col min="8" max="8" width="2.5703125" style="1" customWidth="1"/>
    <col min="9" max="9" width="5.140625" style="2" customWidth="1"/>
    <col min="10" max="10" width="35.5703125" style="7" customWidth="1"/>
    <col min="11" max="11" width="2.5703125" style="1" customWidth="1"/>
    <col min="12" max="12" width="5.140625" style="2" customWidth="1"/>
    <col min="13" max="13" width="35.5703125" style="8" customWidth="1"/>
    <col min="14" max="14" width="2.5703125" style="1" customWidth="1"/>
    <col min="15" max="15" width="5.140625" style="2" customWidth="1"/>
    <col min="16" max="16" width="35.5703125" style="9" customWidth="1"/>
    <col min="17" max="17" width="2.5703125" style="1" customWidth="1"/>
    <col min="18" max="18" width="5.140625" style="2" customWidth="1"/>
    <col min="19" max="19" width="35.5703125" style="13" customWidth="1"/>
    <col min="20" max="16384" width="10.85546875" style="1"/>
  </cols>
  <sheetData>
    <row r="1" spans="2:19" ht="15" customHeight="1" x14ac:dyDescent="0.25"/>
    <row r="2" spans="2:19" ht="14.45" customHeight="1" x14ac:dyDescent="0.25">
      <c r="B2" s="106" t="s">
        <v>14</v>
      </c>
      <c r="C2" s="107"/>
      <c r="D2" s="108"/>
      <c r="F2" s="112" t="s">
        <v>15</v>
      </c>
      <c r="G2" s="112"/>
      <c r="H2" s="3"/>
      <c r="I2" s="113" t="s">
        <v>16</v>
      </c>
      <c r="J2" s="113"/>
      <c r="L2" s="114" t="s">
        <v>17</v>
      </c>
      <c r="M2" s="114"/>
      <c r="O2" s="115" t="s">
        <v>18</v>
      </c>
      <c r="P2" s="115"/>
      <c r="R2" s="105" t="s">
        <v>19</v>
      </c>
      <c r="S2" s="105"/>
    </row>
    <row r="3" spans="2:19" ht="14.45" customHeight="1" x14ac:dyDescent="0.25">
      <c r="B3" s="109"/>
      <c r="C3" s="110"/>
      <c r="D3" s="111"/>
      <c r="F3" s="112"/>
      <c r="G3" s="112"/>
      <c r="H3" s="3"/>
      <c r="I3" s="113"/>
      <c r="J3" s="113"/>
      <c r="L3" s="114"/>
      <c r="M3" s="114"/>
      <c r="O3" s="115"/>
      <c r="P3" s="115"/>
      <c r="R3" s="105"/>
      <c r="S3" s="105"/>
    </row>
    <row r="4" spans="2:19" ht="14.45" customHeight="1" x14ac:dyDescent="0.25"/>
    <row r="5" spans="2:19" ht="14.45" customHeight="1" x14ac:dyDescent="0.25">
      <c r="B5" s="116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</row>
    <row r="6" spans="2:19" ht="14.45" customHeight="1" x14ac:dyDescent="0.25">
      <c r="B6" s="117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</row>
    <row r="7" spans="2:19" ht="14.45" customHeight="1" x14ac:dyDescent="0.25">
      <c r="B7" s="117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</row>
    <row r="8" spans="2:19" ht="14.45" customHeight="1" x14ac:dyDescent="0.25">
      <c r="B8" s="117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</row>
    <row r="9" spans="2:19" ht="14.45" customHeight="1" x14ac:dyDescent="0.25">
      <c r="B9" s="117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</row>
    <row r="10" spans="2:19" ht="14.45" customHeight="1" x14ac:dyDescent="0.25">
      <c r="B10" s="117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</row>
    <row r="11" spans="2:19" ht="14.45" customHeight="1" x14ac:dyDescent="0.25">
      <c r="B11" s="117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</row>
    <row r="12" spans="2:19" ht="14.45" customHeight="1" x14ac:dyDescent="0.25">
      <c r="B12" s="117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</row>
    <row r="13" spans="2:19" ht="14.45" customHeight="1" x14ac:dyDescent="0.25">
      <c r="B13" s="117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</row>
    <row r="14" spans="2:19" ht="14.45" customHeight="1" x14ac:dyDescent="0.25">
      <c r="B14" s="117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</row>
    <row r="15" spans="2:19" ht="14.45" customHeight="1" x14ac:dyDescent="0.25">
      <c r="B15" s="117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</row>
    <row r="16" spans="2:19" ht="14.45" customHeight="1" x14ac:dyDescent="0.25">
      <c r="B16" s="117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</row>
    <row r="17" spans="2:19" ht="14.45" customHeight="1" x14ac:dyDescent="0.25">
      <c r="B17" s="117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</row>
    <row r="18" spans="2:19" ht="14.45" customHeight="1" x14ac:dyDescent="0.25">
      <c r="B18" s="117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</row>
    <row r="19" spans="2:19" ht="14.45" customHeight="1" x14ac:dyDescent="0.25">
      <c r="B19" s="117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</row>
    <row r="20" spans="2:19" ht="14.45" customHeight="1" x14ac:dyDescent="0.25">
      <c r="B20" s="118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</row>
    <row r="21" spans="2:19" s="10" customFormat="1" ht="14.45" customHeight="1" x14ac:dyDescent="0.2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</row>
    <row r="22" spans="2:19" ht="14.45" customHeight="1" x14ac:dyDescent="0.25">
      <c r="B22" s="119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</row>
    <row r="23" spans="2:19" ht="14.45" customHeight="1" x14ac:dyDescent="0.25">
      <c r="B23" s="119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</row>
    <row r="24" spans="2:19" ht="14.45" customHeight="1" x14ac:dyDescent="0.25">
      <c r="B24" s="119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</row>
    <row r="25" spans="2:19" ht="14.45" customHeight="1" x14ac:dyDescent="0.25">
      <c r="B25" s="119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</row>
    <row r="26" spans="2:19" ht="14.45" customHeight="1" x14ac:dyDescent="0.25">
      <c r="B26" s="119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</row>
    <row r="27" spans="2:19" ht="14.45" customHeight="1" x14ac:dyDescent="0.25">
      <c r="B27" s="119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</row>
    <row r="28" spans="2:19" ht="14.45" customHeight="1" x14ac:dyDescent="0.25">
      <c r="B28" s="119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</row>
    <row r="29" spans="2:19" ht="14.45" customHeight="1" x14ac:dyDescent="0.25">
      <c r="B29" s="119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</row>
    <row r="30" spans="2:19" ht="14.45" customHeight="1" x14ac:dyDescent="0.25">
      <c r="B30" s="119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</row>
    <row r="31" spans="2:19" ht="14.45" customHeight="1" x14ac:dyDescent="0.25">
      <c r="B31" s="119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</row>
    <row r="32" spans="2:19" ht="14.45" customHeight="1" x14ac:dyDescent="0.25">
      <c r="B32" s="119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</row>
    <row r="33" spans="2:19" ht="14.45" customHeight="1" x14ac:dyDescent="0.25">
      <c r="B33" s="119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</row>
    <row r="34" spans="2:19" ht="14.45" customHeight="1" x14ac:dyDescent="0.25">
      <c r="B34" s="119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</row>
    <row r="35" spans="2:19" ht="14.45" customHeight="1" x14ac:dyDescent="0.25">
      <c r="B35" s="119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</row>
    <row r="36" spans="2:19" ht="14.45" customHeight="1" x14ac:dyDescent="0.25">
      <c r="B36" s="119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</row>
    <row r="37" spans="2:19" ht="14.45" customHeight="1" x14ac:dyDescent="0.25">
      <c r="B37" s="119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</row>
    <row r="38" spans="2:19" ht="14.45" customHeight="1" x14ac:dyDescent="0.25">
      <c r="B38" s="119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</row>
    <row r="39" spans="2:19" ht="14.45" customHeight="1" x14ac:dyDescent="0.25">
      <c r="B39" s="119"/>
      <c r="D39" s="22">
        <v>18</v>
      </c>
      <c r="F39" s="76">
        <v>2</v>
      </c>
      <c r="G39" s="4" t="s">
        <v>30</v>
      </c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</row>
    <row r="40" spans="2:19" ht="14.45" customHeight="1" x14ac:dyDescent="0.25">
      <c r="B40" s="119"/>
      <c r="D40" s="22">
        <v>19</v>
      </c>
      <c r="F40" s="76">
        <v>0</v>
      </c>
      <c r="G40" s="4"/>
      <c r="H40" s="90"/>
      <c r="I40" s="77">
        <v>0</v>
      </c>
      <c r="J40" s="57"/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</row>
    <row r="41" spans="2:19" ht="14.45" customHeight="1" x14ac:dyDescent="0.25">
      <c r="B41" s="119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</row>
    <row r="42" spans="2:19" ht="14.45" customHeight="1" x14ac:dyDescent="0.25">
      <c r="B42" s="119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</row>
    <row r="43" spans="2:19" ht="14.45" customHeight="1" x14ac:dyDescent="0.25">
      <c r="B43" s="119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</row>
    <row r="44" spans="2:19" ht="14.45" customHeight="1" x14ac:dyDescent="0.25">
      <c r="B44" s="119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</row>
    <row r="45" spans="2:19" ht="14.45" customHeight="1" x14ac:dyDescent="0.25">
      <c r="B45" s="119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</row>
    <row r="46" spans="2:19" ht="14.45" customHeight="1" x14ac:dyDescent="0.25">
      <c r="B46" s="119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</row>
    <row r="47" spans="2:19" ht="14.45" customHeight="1" x14ac:dyDescent="0.25">
      <c r="B47" s="119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</row>
    <row r="48" spans="2:19" ht="14.45" customHeight="1" x14ac:dyDescent="0.25">
      <c r="B48" s="119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</row>
    <row r="49" spans="2:19" ht="14.45" customHeight="1" x14ac:dyDescent="0.25">
      <c r="B49" s="119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</row>
    <row r="50" spans="2:19" ht="14.45" customHeight="1" x14ac:dyDescent="0.25">
      <c r="B50" s="119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</row>
    <row r="51" spans="2:19" ht="14.45" customHeight="1" x14ac:dyDescent="0.25">
      <c r="B51" s="119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</row>
    <row r="52" spans="2:19" ht="14.45" customHeight="1" x14ac:dyDescent="0.25">
      <c r="B52" s="119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</row>
    <row r="53" spans="2:19" s="10" customFormat="1" ht="14.45" customHeight="1" x14ac:dyDescent="0.2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</row>
    <row r="54" spans="2:19" ht="14.45" customHeight="1" x14ac:dyDescent="0.25">
      <c r="B54" s="119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</row>
    <row r="55" spans="2:19" ht="14.45" customHeight="1" x14ac:dyDescent="0.25">
      <c r="B55" s="119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</row>
    <row r="56" spans="2:19" ht="14.45" customHeight="1" x14ac:dyDescent="0.25">
      <c r="B56" s="119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</row>
    <row r="57" spans="2:19" ht="14.45" customHeight="1" x14ac:dyDescent="0.25">
      <c r="B57" s="119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</row>
    <row r="58" spans="2:19" ht="14.45" customHeight="1" x14ac:dyDescent="0.25">
      <c r="B58" s="119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</row>
    <row r="59" spans="2:19" ht="14.45" customHeight="1" x14ac:dyDescent="0.25">
      <c r="B59" s="119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</row>
    <row r="60" spans="2:19" ht="14.45" customHeight="1" x14ac:dyDescent="0.25">
      <c r="B60" s="119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</row>
    <row r="61" spans="2:19" ht="14.45" customHeight="1" x14ac:dyDescent="0.25">
      <c r="B61" s="119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</row>
    <row r="62" spans="2:19" ht="14.45" customHeight="1" x14ac:dyDescent="0.25">
      <c r="B62" s="119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</row>
    <row r="63" spans="2:19" x14ac:dyDescent="0.25">
      <c r="B63" s="119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</row>
    <row r="64" spans="2:19" x14ac:dyDescent="0.25">
      <c r="B64" s="119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</row>
    <row r="65" spans="2:19" x14ac:dyDescent="0.25">
      <c r="B65" s="119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</row>
    <row r="66" spans="2:19" x14ac:dyDescent="0.25">
      <c r="B66" s="119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</row>
    <row r="67" spans="2:19" x14ac:dyDescent="0.25">
      <c r="B67" s="119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</row>
    <row r="68" spans="2:19" x14ac:dyDescent="0.25">
      <c r="B68" s="119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</row>
    <row r="69" spans="2:19" x14ac:dyDescent="0.25">
      <c r="B69" s="119"/>
      <c r="D69" s="22">
        <v>16</v>
      </c>
      <c r="F69" s="76">
        <v>1</v>
      </c>
      <c r="G69" s="4" t="s">
        <v>35</v>
      </c>
      <c r="H69" s="90"/>
      <c r="I69" s="77">
        <v>0</v>
      </c>
      <c r="J69" s="57"/>
      <c r="K69" s="90"/>
      <c r="L69" s="78">
        <v>5</v>
      </c>
      <c r="M69" s="58" t="s">
        <v>36</v>
      </c>
      <c r="N69" s="90"/>
      <c r="O69" s="79">
        <v>0</v>
      </c>
      <c r="P69" s="59"/>
      <c r="Q69" s="90"/>
      <c r="R69" s="80">
        <v>0</v>
      </c>
      <c r="S69" s="60"/>
    </row>
    <row r="70" spans="2:19" x14ac:dyDescent="0.25">
      <c r="B70" s="119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</row>
    <row r="71" spans="2:19" x14ac:dyDescent="0.25">
      <c r="B71" s="119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</row>
    <row r="72" spans="2:19" x14ac:dyDescent="0.25">
      <c r="B72" s="119"/>
      <c r="D72" s="22">
        <v>19</v>
      </c>
      <c r="F72" s="76">
        <v>0</v>
      </c>
      <c r="G72" s="4"/>
      <c r="H72" s="90"/>
      <c r="I72" s="77">
        <v>1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</row>
    <row r="73" spans="2:19" x14ac:dyDescent="0.25">
      <c r="B73" s="119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</row>
    <row r="74" spans="2:19" x14ac:dyDescent="0.25">
      <c r="B74" s="119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</row>
    <row r="75" spans="2:19" x14ac:dyDescent="0.25">
      <c r="B75" s="119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</row>
    <row r="76" spans="2:19" x14ac:dyDescent="0.25">
      <c r="B76" s="119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</row>
    <row r="77" spans="2:19" x14ac:dyDescent="0.25">
      <c r="B77" s="119"/>
      <c r="D77" s="22">
        <v>24</v>
      </c>
      <c r="F77" s="76">
        <v>0</v>
      </c>
      <c r="G77" s="4"/>
      <c r="H77" s="90"/>
      <c r="I77" s="77">
        <v>1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1</v>
      </c>
      <c r="S77" s="60" t="s">
        <v>24</v>
      </c>
    </row>
    <row r="78" spans="2:19" x14ac:dyDescent="0.25">
      <c r="B78" s="119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</row>
    <row r="79" spans="2:19" x14ac:dyDescent="0.25">
      <c r="B79" s="119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</row>
    <row r="80" spans="2:19" x14ac:dyDescent="0.25">
      <c r="B80" s="119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0</v>
      </c>
      <c r="S80" s="60"/>
    </row>
    <row r="81" spans="2:19" x14ac:dyDescent="0.25">
      <c r="B81" s="119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2</v>
      </c>
      <c r="P81" s="59"/>
      <c r="Q81" s="90"/>
      <c r="R81" s="80">
        <v>0</v>
      </c>
      <c r="S81" s="60"/>
    </row>
    <row r="82" spans="2:19" x14ac:dyDescent="0.25">
      <c r="B82" s="119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</row>
    <row r="83" spans="2:19" x14ac:dyDescent="0.25">
      <c r="B83" s="119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</row>
    <row r="84" spans="2:19" s="10" customFormat="1" x14ac:dyDescent="0.2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</row>
    <row r="85" spans="2:19" x14ac:dyDescent="0.25">
      <c r="B85" s="119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</row>
    <row r="86" spans="2:19" x14ac:dyDescent="0.25">
      <c r="B86" s="119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>
        <v>0</v>
      </c>
      <c r="M86" s="58"/>
      <c r="N86" s="90"/>
      <c r="O86" s="79">
        <v>2</v>
      </c>
      <c r="P86" s="59"/>
      <c r="Q86" s="90"/>
      <c r="R86" s="80">
        <v>0</v>
      </c>
      <c r="S86" s="60"/>
    </row>
    <row r="87" spans="2:19" x14ac:dyDescent="0.25">
      <c r="B87" s="119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0</v>
      </c>
      <c r="P87" s="59"/>
      <c r="Q87" s="90"/>
      <c r="R87" s="80">
        <v>0</v>
      </c>
      <c r="S87" s="60"/>
    </row>
    <row r="88" spans="2:19" x14ac:dyDescent="0.25">
      <c r="B88" s="119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</row>
    <row r="89" spans="2:19" x14ac:dyDescent="0.25">
      <c r="B89" s="119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3</v>
      </c>
      <c r="P89" s="59"/>
      <c r="Q89" s="90"/>
      <c r="R89" s="80">
        <v>3</v>
      </c>
      <c r="S89" s="60" t="s">
        <v>39</v>
      </c>
    </row>
    <row r="90" spans="2:19" x14ac:dyDescent="0.25">
      <c r="B90" s="119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0</v>
      </c>
      <c r="M90" s="58"/>
      <c r="N90" s="90"/>
      <c r="O90" s="79"/>
      <c r="P90" s="59"/>
      <c r="Q90" s="90"/>
      <c r="R90" s="80">
        <v>0</v>
      </c>
      <c r="S90" s="60"/>
    </row>
    <row r="91" spans="2:19" x14ac:dyDescent="0.25">
      <c r="B91" s="119"/>
      <c r="D91" s="22">
        <v>7</v>
      </c>
      <c r="F91" s="76">
        <v>2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3</v>
      </c>
      <c r="P91" s="59"/>
      <c r="Q91" s="90"/>
      <c r="R91" s="80">
        <v>0</v>
      </c>
      <c r="S91" s="60"/>
    </row>
    <row r="92" spans="2:19" x14ac:dyDescent="0.25">
      <c r="B92" s="119"/>
      <c r="D92" s="22">
        <v>8</v>
      </c>
      <c r="F92" s="76">
        <v>0</v>
      </c>
      <c r="G92" s="4"/>
      <c r="H92" s="90"/>
      <c r="I92" s="77">
        <v>0</v>
      </c>
      <c r="J92" s="57"/>
      <c r="K92" s="90"/>
      <c r="L92" s="78">
        <v>0</v>
      </c>
      <c r="M92" s="58"/>
      <c r="N92" s="90"/>
      <c r="O92" s="79">
        <v>8</v>
      </c>
      <c r="P92" s="59"/>
      <c r="Q92" s="90"/>
      <c r="R92" s="80">
        <v>1</v>
      </c>
      <c r="S92" s="60" t="s">
        <v>24</v>
      </c>
    </row>
    <row r="93" spans="2:19" x14ac:dyDescent="0.25">
      <c r="B93" s="119"/>
      <c r="D93" s="22">
        <v>9</v>
      </c>
      <c r="F93" s="76">
        <v>0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3</v>
      </c>
      <c r="S93" s="60"/>
    </row>
    <row r="94" spans="2:19" x14ac:dyDescent="0.25">
      <c r="B94" s="119"/>
      <c r="D94" s="22">
        <v>10</v>
      </c>
      <c r="F94" s="76">
        <v>0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</row>
    <row r="95" spans="2:19" x14ac:dyDescent="0.25">
      <c r="B95" s="119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3</v>
      </c>
      <c r="S95" s="60"/>
    </row>
    <row r="96" spans="2:19" x14ac:dyDescent="0.25">
      <c r="B96" s="119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</row>
    <row r="97" spans="2:19" x14ac:dyDescent="0.25">
      <c r="B97" s="119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</row>
    <row r="98" spans="2:19" x14ac:dyDescent="0.25">
      <c r="B98" s="119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</row>
    <row r="99" spans="2:19" x14ac:dyDescent="0.25">
      <c r="B99" s="119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</row>
    <row r="100" spans="2:19" x14ac:dyDescent="0.25">
      <c r="B100" s="119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</row>
    <row r="101" spans="2:19" x14ac:dyDescent="0.25">
      <c r="B101" s="119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</row>
    <row r="102" spans="2:19" x14ac:dyDescent="0.25">
      <c r="B102" s="119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</row>
    <row r="103" spans="2:19" x14ac:dyDescent="0.25">
      <c r="B103" s="119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</row>
    <row r="104" spans="2:19" x14ac:dyDescent="0.25">
      <c r="B104" s="119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</row>
    <row r="105" spans="2:19" x14ac:dyDescent="0.25">
      <c r="B105" s="119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</row>
    <row r="106" spans="2:19" x14ac:dyDescent="0.25">
      <c r="B106" s="119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</row>
    <row r="107" spans="2:19" x14ac:dyDescent="0.25">
      <c r="B107" s="119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</row>
    <row r="108" spans="2:19" x14ac:dyDescent="0.25">
      <c r="B108" s="119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</row>
    <row r="109" spans="2:19" x14ac:dyDescent="0.25">
      <c r="B109" s="119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</row>
    <row r="110" spans="2:19" x14ac:dyDescent="0.25">
      <c r="B110" s="119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</row>
    <row r="111" spans="2:19" x14ac:dyDescent="0.25">
      <c r="B111" s="119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</row>
    <row r="112" spans="2:19" x14ac:dyDescent="0.25">
      <c r="B112" s="119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</row>
    <row r="113" spans="2:19" x14ac:dyDescent="0.25">
      <c r="B113" s="119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</row>
    <row r="114" spans="2:19" x14ac:dyDescent="0.25">
      <c r="B114" s="119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</row>
    <row r="115" spans="2:19" x14ac:dyDescent="0.25">
      <c r="B115" s="119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</row>
    <row r="116" spans="2:19" s="10" customFormat="1" x14ac:dyDescent="0.2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</row>
    <row r="117" spans="2:19" ht="14.45" customHeight="1" x14ac:dyDescent="0.25">
      <c r="B117" s="116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</row>
    <row r="118" spans="2:19" x14ac:dyDescent="0.25">
      <c r="B118" s="117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</row>
    <row r="119" spans="2:19" x14ac:dyDescent="0.25">
      <c r="B119" s="117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</row>
    <row r="120" spans="2:19" x14ac:dyDescent="0.25">
      <c r="B120" s="117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</row>
    <row r="121" spans="2:19" x14ac:dyDescent="0.25">
      <c r="B121" s="117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</row>
    <row r="122" spans="2:19" x14ac:dyDescent="0.25">
      <c r="B122" s="117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</row>
    <row r="123" spans="2:19" x14ac:dyDescent="0.25">
      <c r="B123" s="117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</row>
    <row r="124" spans="2:19" x14ac:dyDescent="0.25">
      <c r="B124" s="117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</row>
    <row r="125" spans="2:19" x14ac:dyDescent="0.25">
      <c r="B125" s="117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</row>
    <row r="126" spans="2:19" x14ac:dyDescent="0.25">
      <c r="B126" s="117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</row>
    <row r="127" spans="2:19" x14ac:dyDescent="0.25">
      <c r="B127" s="117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</row>
    <row r="128" spans="2:19" x14ac:dyDescent="0.25">
      <c r="B128" s="117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</row>
    <row r="129" spans="2:19" x14ac:dyDescent="0.25">
      <c r="B129" s="117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</row>
    <row r="130" spans="2:19" x14ac:dyDescent="0.25">
      <c r="B130" s="117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</row>
    <row r="131" spans="2:19" x14ac:dyDescent="0.25">
      <c r="B131" s="117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</row>
    <row r="132" spans="2:19" x14ac:dyDescent="0.25">
      <c r="B132" s="117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</row>
    <row r="133" spans="2:19" x14ac:dyDescent="0.25">
      <c r="B133" s="117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</row>
    <row r="134" spans="2:19" x14ac:dyDescent="0.25">
      <c r="B134" s="117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</row>
    <row r="135" spans="2:19" x14ac:dyDescent="0.25">
      <c r="B135" s="117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</row>
    <row r="136" spans="2:19" x14ac:dyDescent="0.25">
      <c r="B136" s="117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</row>
    <row r="137" spans="2:19" x14ac:dyDescent="0.25">
      <c r="B137" s="117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</row>
    <row r="138" spans="2:19" x14ac:dyDescent="0.25">
      <c r="B138" s="118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</row>
  </sheetData>
  <mergeCells count="11">
    <mergeCell ref="B5:B20"/>
    <mergeCell ref="B22:B52"/>
    <mergeCell ref="B54:B83"/>
    <mergeCell ref="B85:B115"/>
    <mergeCell ref="B117:B138"/>
    <mergeCell ref="R2:S3"/>
    <mergeCell ref="B2:D3"/>
    <mergeCell ref="F2:G3"/>
    <mergeCell ref="I2:J3"/>
    <mergeCell ref="L2:M3"/>
    <mergeCell ref="O2:P3"/>
  </mergeCells>
  <conditionalFormatting sqref="F5:F20 F22:F52 F54:F83 F85:F115 F117:F138">
    <cfRule type="cellIs" dxfId="65" priority="5" operator="equal">
      <formula>0</formula>
    </cfRule>
  </conditionalFormatting>
  <conditionalFormatting sqref="F5:F138">
    <cfRule type="cellIs" dxfId="64" priority="10" operator="greaterThan">
      <formula>0</formula>
    </cfRule>
  </conditionalFormatting>
  <conditionalFormatting sqref="I5:I20 I22:I52 I54:I83 I85:I115 I117:I138">
    <cfRule type="cellIs" dxfId="63" priority="4" operator="equal">
      <formula>0</formula>
    </cfRule>
  </conditionalFormatting>
  <conditionalFormatting sqref="I5:I138">
    <cfRule type="cellIs" dxfId="62" priority="9" operator="greaterThan">
      <formula>0</formula>
    </cfRule>
  </conditionalFormatting>
  <conditionalFormatting sqref="L5:L20 L22:L52 L54:L83 L85:L115 L117:L138">
    <cfRule type="cellIs" dxfId="61" priority="3" operator="equal">
      <formula>0</formula>
    </cfRule>
  </conditionalFormatting>
  <conditionalFormatting sqref="L5:L138">
    <cfRule type="cellIs" dxfId="60" priority="8" operator="greaterThan">
      <formula>0</formula>
    </cfRule>
  </conditionalFormatting>
  <conditionalFormatting sqref="O5:O20 O22:O52 O54:O83 O85:O115 O117:O138">
    <cfRule type="cellIs" dxfId="59" priority="2" operator="equal">
      <formula>0</formula>
    </cfRule>
  </conditionalFormatting>
  <conditionalFormatting sqref="O5:O138">
    <cfRule type="cellIs" dxfId="58" priority="7" operator="greaterThan">
      <formula>0</formula>
    </cfRule>
  </conditionalFormatting>
  <conditionalFormatting sqref="R5:R20 R22:R52 R54:R83 R85:R115 R117:R138">
    <cfRule type="cellIs" dxfId="57" priority="1" operator="equal">
      <formula>0</formula>
    </cfRule>
  </conditionalFormatting>
  <conditionalFormatting sqref="R5:R138">
    <cfRule type="cellIs" dxfId="56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V138"/>
  <sheetViews>
    <sheetView zoomScale="70" zoomScaleNormal="70" workbookViewId="0">
      <pane xSplit="5" ySplit="4" topLeftCell="F85" activePane="bottomRight" state="frozen"/>
      <selection pane="topRight" activeCell="F1" sqref="F1"/>
      <selection pane="bottomLeft" activeCell="A5" sqref="A5"/>
      <selection pane="bottomRight" activeCell="G78" sqref="G78"/>
    </sheetView>
  </sheetViews>
  <sheetFormatPr defaultColWidth="10.85546875" defaultRowHeight="15" x14ac:dyDescent="0.25"/>
  <cols>
    <col min="1" max="1" width="2.5703125" style="1" customWidth="1"/>
    <col min="2" max="2" width="6.140625" style="1" customWidth="1"/>
    <col min="3" max="3" width="2.5703125" style="1" customWidth="1"/>
    <col min="4" max="4" width="5.140625" style="2" customWidth="1"/>
    <col min="5" max="5" width="2.5703125" style="1" customWidth="1"/>
    <col min="6" max="6" width="5.140625" style="2" customWidth="1"/>
    <col min="7" max="7" width="35.5703125" style="6" customWidth="1"/>
    <col min="8" max="8" width="2.5703125" style="1" customWidth="1"/>
    <col min="9" max="9" width="5.140625" style="2" customWidth="1"/>
    <col min="10" max="10" width="35.5703125" style="7" customWidth="1"/>
    <col min="11" max="11" width="2.5703125" style="1" customWidth="1"/>
    <col min="12" max="12" width="5.140625" style="2" customWidth="1"/>
    <col min="13" max="13" width="35.5703125" style="8" customWidth="1"/>
    <col min="14" max="14" width="2.5703125" style="1" customWidth="1"/>
    <col min="15" max="15" width="5.140625" style="2" customWidth="1"/>
    <col min="16" max="16" width="35.5703125" style="9" customWidth="1"/>
    <col min="17" max="17" width="2.5703125" style="1" customWidth="1"/>
    <col min="18" max="18" width="5.140625" style="2" customWidth="1"/>
    <col min="19" max="19" width="35.5703125" style="13" customWidth="1"/>
    <col min="20" max="16384" width="10.85546875" style="1"/>
  </cols>
  <sheetData>
    <row r="1" spans="2:22" ht="15" customHeight="1" x14ac:dyDescent="0.25"/>
    <row r="2" spans="2:22" ht="14.45" customHeight="1" x14ac:dyDescent="0.25">
      <c r="B2" s="106" t="s">
        <v>41</v>
      </c>
      <c r="C2" s="107"/>
      <c r="D2" s="108"/>
      <c r="F2" s="112" t="s">
        <v>15</v>
      </c>
      <c r="G2" s="112"/>
      <c r="H2" s="3"/>
      <c r="I2" s="113" t="s">
        <v>16</v>
      </c>
      <c r="J2" s="113"/>
      <c r="L2" s="114" t="s">
        <v>17</v>
      </c>
      <c r="M2" s="114"/>
      <c r="O2" s="115" t="s">
        <v>18</v>
      </c>
      <c r="P2" s="115"/>
      <c r="R2" s="105" t="s">
        <v>19</v>
      </c>
      <c r="S2" s="105"/>
    </row>
    <row r="3" spans="2:22" ht="14.45" customHeight="1" x14ac:dyDescent="0.25">
      <c r="B3" s="109"/>
      <c r="C3" s="110"/>
      <c r="D3" s="111"/>
      <c r="F3" s="112"/>
      <c r="G3" s="112"/>
      <c r="H3" s="3"/>
      <c r="I3" s="113"/>
      <c r="J3" s="113"/>
      <c r="L3" s="114"/>
      <c r="M3" s="114"/>
      <c r="O3" s="115"/>
      <c r="P3" s="115"/>
      <c r="R3" s="105"/>
      <c r="S3" s="105"/>
    </row>
    <row r="4" spans="2:22" ht="14.45" customHeight="1" x14ac:dyDescent="0.25"/>
    <row r="5" spans="2:22" ht="14.45" customHeight="1" x14ac:dyDescent="0.25">
      <c r="B5" s="116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45" customHeight="1" x14ac:dyDescent="0.25">
      <c r="B6" s="117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45" customHeight="1" x14ac:dyDescent="0.25">
      <c r="B7" s="117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45" customHeight="1" x14ac:dyDescent="0.25">
      <c r="B8" s="117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45" customHeight="1" x14ac:dyDescent="0.25">
      <c r="B9" s="117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45" customHeight="1" x14ac:dyDescent="0.25">
      <c r="B10" s="117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45" customHeight="1" x14ac:dyDescent="0.25">
      <c r="B11" s="117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45" customHeight="1" x14ac:dyDescent="0.25">
      <c r="B12" s="117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45" customHeight="1" x14ac:dyDescent="0.25">
      <c r="B13" s="117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45" customHeight="1" x14ac:dyDescent="0.25">
      <c r="B14" s="117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45" customHeight="1" x14ac:dyDescent="0.25">
      <c r="B15" s="117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45" customHeight="1" x14ac:dyDescent="0.25">
      <c r="B16" s="117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45" customHeight="1" x14ac:dyDescent="0.25">
      <c r="B17" s="117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45" customHeight="1" x14ac:dyDescent="0.25">
      <c r="B18" s="117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45" customHeight="1" x14ac:dyDescent="0.25">
      <c r="B19" s="117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45" customHeight="1" x14ac:dyDescent="0.25">
      <c r="B20" s="118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45" customHeight="1" x14ac:dyDescent="0.2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45" customHeight="1" x14ac:dyDescent="0.25">
      <c r="B22" s="119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45" customHeight="1" x14ac:dyDescent="0.25">
      <c r="B23" s="119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45" customHeight="1" x14ac:dyDescent="0.25">
      <c r="B24" s="119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45" customHeight="1" x14ac:dyDescent="0.25">
      <c r="B25" s="119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45" customHeight="1" x14ac:dyDescent="0.25">
      <c r="B26" s="119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45" customHeight="1" x14ac:dyDescent="0.25">
      <c r="B27" s="119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45" customHeight="1" x14ac:dyDescent="0.25">
      <c r="B28" s="119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45" customHeight="1" x14ac:dyDescent="0.25">
      <c r="B29" s="119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45" customHeight="1" x14ac:dyDescent="0.25">
      <c r="B30" s="119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45" customHeight="1" x14ac:dyDescent="0.25">
      <c r="B31" s="119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45" customHeight="1" x14ac:dyDescent="0.25">
      <c r="B32" s="119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45" customHeight="1" x14ac:dyDescent="0.25">
      <c r="B33" s="119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45" customHeight="1" x14ac:dyDescent="0.25">
      <c r="B34" s="119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  <c r="U34" s="14"/>
      <c r="V34" s="14"/>
    </row>
    <row r="35" spans="2:22" ht="14.45" customHeight="1" x14ac:dyDescent="0.25">
      <c r="B35" s="119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45" customHeight="1" x14ac:dyDescent="0.25">
      <c r="B36" s="119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45" customHeight="1" x14ac:dyDescent="0.25">
      <c r="B37" s="119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45" customHeight="1" x14ac:dyDescent="0.25">
      <c r="B38" s="119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45" customHeight="1" x14ac:dyDescent="0.25">
      <c r="B39" s="119"/>
      <c r="D39" s="22">
        <v>18</v>
      </c>
      <c r="F39" s="76">
        <v>2</v>
      </c>
      <c r="G39" s="4" t="s">
        <v>42</v>
      </c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45" customHeight="1" x14ac:dyDescent="0.25">
      <c r="B40" s="119"/>
      <c r="D40" s="22">
        <v>19</v>
      </c>
      <c r="F40" s="76">
        <v>0</v>
      </c>
      <c r="G40" s="4"/>
      <c r="H40" s="90"/>
      <c r="I40" s="77">
        <v>0</v>
      </c>
      <c r="J40" s="57"/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45" customHeight="1" x14ac:dyDescent="0.25">
      <c r="B41" s="119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  <c r="U41" s="14"/>
      <c r="V41" s="14"/>
    </row>
    <row r="42" spans="2:22" ht="14.45" customHeight="1" x14ac:dyDescent="0.25">
      <c r="B42" s="119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45" customHeight="1" x14ac:dyDescent="0.25">
      <c r="B43" s="119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45" customHeight="1" x14ac:dyDescent="0.25">
      <c r="B44" s="119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45" customHeight="1" x14ac:dyDescent="0.25">
      <c r="B45" s="119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45" customHeight="1" x14ac:dyDescent="0.25">
      <c r="B46" s="119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45" customHeight="1" x14ac:dyDescent="0.25">
      <c r="B47" s="119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45" customHeight="1" x14ac:dyDescent="0.25">
      <c r="B48" s="119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45" customHeight="1" x14ac:dyDescent="0.25">
      <c r="B49" s="119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45" customHeight="1" x14ac:dyDescent="0.25">
      <c r="B50" s="119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45" customHeight="1" x14ac:dyDescent="0.25">
      <c r="B51" s="119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45" customHeight="1" x14ac:dyDescent="0.25">
      <c r="B52" s="119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45" customHeight="1" x14ac:dyDescent="0.2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45" customHeight="1" x14ac:dyDescent="0.25">
      <c r="B54" s="119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45" customHeight="1" x14ac:dyDescent="0.25">
      <c r="B55" s="119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45" customHeight="1" x14ac:dyDescent="0.25">
      <c r="B56" s="119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45" customHeight="1" x14ac:dyDescent="0.25">
      <c r="B57" s="119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45" customHeight="1" x14ac:dyDescent="0.25">
      <c r="B58" s="119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45" customHeight="1" x14ac:dyDescent="0.25">
      <c r="B59" s="119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45" customHeight="1" x14ac:dyDescent="0.25">
      <c r="B60" s="119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45" customHeight="1" x14ac:dyDescent="0.25">
      <c r="B61" s="119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45" customHeight="1" x14ac:dyDescent="0.25">
      <c r="B62" s="119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x14ac:dyDescent="0.25">
      <c r="B63" s="119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x14ac:dyDescent="0.25">
      <c r="B64" s="119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x14ac:dyDescent="0.25">
      <c r="B65" s="119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x14ac:dyDescent="0.25">
      <c r="B66" s="119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 x14ac:dyDescent="0.25">
      <c r="B67" s="119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x14ac:dyDescent="0.25">
      <c r="B68" s="119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x14ac:dyDescent="0.25">
      <c r="B69" s="119"/>
      <c r="D69" s="22">
        <v>16</v>
      </c>
      <c r="F69" s="76">
        <v>1</v>
      </c>
      <c r="G69" s="4" t="s">
        <v>35</v>
      </c>
      <c r="H69" s="90"/>
      <c r="I69" s="77">
        <v>0</v>
      </c>
      <c r="J69" s="57"/>
      <c r="K69" s="90"/>
      <c r="L69" s="78">
        <v>5</v>
      </c>
      <c r="M69" s="58" t="s">
        <v>36</v>
      </c>
      <c r="N69" s="90"/>
      <c r="O69" s="79">
        <v>0</v>
      </c>
      <c r="P69" s="59"/>
      <c r="Q69" s="90"/>
      <c r="R69" s="80">
        <v>0</v>
      </c>
      <c r="S69" s="60"/>
      <c r="U69" s="14"/>
      <c r="V69" s="14"/>
    </row>
    <row r="70" spans="2:22" x14ac:dyDescent="0.25">
      <c r="B70" s="119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 x14ac:dyDescent="0.25">
      <c r="B71" s="119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 x14ac:dyDescent="0.25">
      <c r="B72" s="119"/>
      <c r="D72" s="22">
        <v>19</v>
      </c>
      <c r="F72" s="76">
        <v>0</v>
      </c>
      <c r="G72" s="4"/>
      <c r="H72" s="90"/>
      <c r="I72" s="77">
        <v>0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  <c r="U72" s="14"/>
      <c r="V72" s="14"/>
    </row>
    <row r="73" spans="2:22" x14ac:dyDescent="0.25">
      <c r="B73" s="119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  <c r="U73" s="14"/>
      <c r="V73" s="14"/>
    </row>
    <row r="74" spans="2:22" x14ac:dyDescent="0.25">
      <c r="B74" s="119"/>
      <c r="D74" s="22">
        <v>21</v>
      </c>
      <c r="F74" s="76">
        <v>1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  <c r="U74" s="14"/>
      <c r="V74" s="14"/>
    </row>
    <row r="75" spans="2:22" x14ac:dyDescent="0.25">
      <c r="B75" s="119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 x14ac:dyDescent="0.25">
      <c r="B76" s="119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x14ac:dyDescent="0.25">
      <c r="B77" s="119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1</v>
      </c>
      <c r="S77" s="60" t="s">
        <v>24</v>
      </c>
      <c r="U77" s="14"/>
      <c r="V77" s="14"/>
    </row>
    <row r="78" spans="2:22" x14ac:dyDescent="0.25">
      <c r="B78" s="119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 x14ac:dyDescent="0.25">
      <c r="B79" s="119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  <c r="U79" s="14"/>
      <c r="V79" s="14"/>
    </row>
    <row r="80" spans="2:22" x14ac:dyDescent="0.25">
      <c r="B80" s="119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0</v>
      </c>
      <c r="S80" s="60"/>
      <c r="U80" s="14"/>
      <c r="V80" s="14"/>
    </row>
    <row r="81" spans="2:22" x14ac:dyDescent="0.25">
      <c r="B81" s="119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0</v>
      </c>
      <c r="S81" s="60"/>
      <c r="U81" s="14"/>
      <c r="V81" s="14"/>
    </row>
    <row r="82" spans="2:22" x14ac:dyDescent="0.25">
      <c r="B82" s="119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  <c r="U82" s="14"/>
      <c r="V82" s="14"/>
    </row>
    <row r="83" spans="2:22" x14ac:dyDescent="0.25">
      <c r="B83" s="119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 x14ac:dyDescent="0.2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x14ac:dyDescent="0.25">
      <c r="B85" s="119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x14ac:dyDescent="0.25">
      <c r="B86" s="119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>
        <v>0</v>
      </c>
      <c r="M86" s="58"/>
      <c r="N86" s="90"/>
      <c r="O86" s="79">
        <v>0</v>
      </c>
      <c r="P86" s="59"/>
      <c r="Q86" s="90"/>
      <c r="R86" s="80">
        <v>0</v>
      </c>
      <c r="S86" s="60"/>
      <c r="U86" s="14"/>
      <c r="V86" s="14"/>
    </row>
    <row r="87" spans="2:22" x14ac:dyDescent="0.25">
      <c r="B87" s="119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0</v>
      </c>
      <c r="P87" s="59"/>
      <c r="Q87" s="90"/>
      <c r="R87" s="80">
        <v>0</v>
      </c>
      <c r="S87" s="60"/>
      <c r="U87" s="14"/>
      <c r="V87" s="14"/>
    </row>
    <row r="88" spans="2:22" x14ac:dyDescent="0.25">
      <c r="B88" s="119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  <c r="U88" s="14"/>
      <c r="V88" s="14"/>
    </row>
    <row r="89" spans="2:22" x14ac:dyDescent="0.25">
      <c r="B89" s="119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3</v>
      </c>
      <c r="S89" s="60" t="s">
        <v>39</v>
      </c>
      <c r="U89" s="14"/>
      <c r="V89" s="14"/>
    </row>
    <row r="90" spans="2:22" x14ac:dyDescent="0.25">
      <c r="B90" s="119"/>
      <c r="D90" s="22">
        <v>6</v>
      </c>
      <c r="F90" s="76">
        <v>3</v>
      </c>
      <c r="G90" s="4"/>
      <c r="H90" s="90"/>
      <c r="I90" s="77">
        <v>3</v>
      </c>
      <c r="J90" s="57"/>
      <c r="K90" s="90"/>
      <c r="L90" s="78">
        <v>3</v>
      </c>
      <c r="M90" s="58"/>
      <c r="N90" s="90"/>
      <c r="O90" s="79">
        <v>3</v>
      </c>
      <c r="P90" s="59"/>
      <c r="Q90" s="90"/>
      <c r="R90" s="80">
        <v>3</v>
      </c>
      <c r="S90" s="60"/>
      <c r="U90" s="14"/>
      <c r="V90" s="14"/>
    </row>
    <row r="91" spans="2:22" x14ac:dyDescent="0.25">
      <c r="B91" s="119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x14ac:dyDescent="0.25">
      <c r="B92" s="119"/>
      <c r="D92" s="22">
        <v>8</v>
      </c>
      <c r="F92" s="76">
        <v>0</v>
      </c>
      <c r="G92" s="4"/>
      <c r="H92" s="90"/>
      <c r="I92" s="77">
        <v>0</v>
      </c>
      <c r="J92" s="57"/>
      <c r="K92" s="90"/>
      <c r="L92" s="78">
        <v>0</v>
      </c>
      <c r="M92" s="58"/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x14ac:dyDescent="0.25">
      <c r="B93" s="119"/>
      <c r="D93" s="22">
        <v>9</v>
      </c>
      <c r="F93" s="76">
        <v>0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 x14ac:dyDescent="0.25">
      <c r="B94" s="119"/>
      <c r="D94" s="22">
        <v>10</v>
      </c>
      <c r="F94" s="76">
        <v>2</v>
      </c>
      <c r="G94" s="4"/>
      <c r="H94" s="90"/>
      <c r="I94" s="77">
        <v>2</v>
      </c>
      <c r="J94" s="57"/>
      <c r="K94" s="90"/>
      <c r="L94" s="78">
        <v>2</v>
      </c>
      <c r="M94" s="58"/>
      <c r="N94" s="90"/>
      <c r="O94" s="79">
        <v>2</v>
      </c>
      <c r="P94" s="59"/>
      <c r="Q94" s="90"/>
      <c r="R94" s="80">
        <v>2</v>
      </c>
      <c r="S94" s="60"/>
      <c r="U94" s="14"/>
      <c r="V94" s="14"/>
    </row>
    <row r="95" spans="2:22" x14ac:dyDescent="0.25">
      <c r="B95" s="119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0</v>
      </c>
      <c r="S95" s="60"/>
      <c r="U95" s="14"/>
      <c r="V95" s="14"/>
    </row>
    <row r="96" spans="2:22" x14ac:dyDescent="0.25">
      <c r="B96" s="119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x14ac:dyDescent="0.25">
      <c r="B97" s="119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x14ac:dyDescent="0.25">
      <c r="B98" s="119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 x14ac:dyDescent="0.25">
      <c r="B99" s="119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  <c r="U99" s="14"/>
      <c r="V99" s="14"/>
    </row>
    <row r="100" spans="2:22" x14ac:dyDescent="0.25">
      <c r="B100" s="119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 x14ac:dyDescent="0.25">
      <c r="B101" s="119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x14ac:dyDescent="0.25">
      <c r="B102" s="119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 x14ac:dyDescent="0.25">
      <c r="B103" s="119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  <c r="U103" s="14"/>
      <c r="V103" s="14"/>
    </row>
    <row r="104" spans="2:22" x14ac:dyDescent="0.25">
      <c r="B104" s="119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x14ac:dyDescent="0.25">
      <c r="B105" s="119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x14ac:dyDescent="0.25">
      <c r="B106" s="119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  <c r="U106" s="14"/>
      <c r="V106" s="14"/>
    </row>
    <row r="107" spans="2:22" x14ac:dyDescent="0.25">
      <c r="B107" s="119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x14ac:dyDescent="0.25">
      <c r="B108" s="119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 x14ac:dyDescent="0.25">
      <c r="B109" s="119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  <c r="U109" s="14"/>
      <c r="V109" s="14"/>
    </row>
    <row r="110" spans="2:22" x14ac:dyDescent="0.25">
      <c r="B110" s="119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 x14ac:dyDescent="0.25">
      <c r="B111" s="119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x14ac:dyDescent="0.25">
      <c r="B112" s="119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 x14ac:dyDescent="0.25">
      <c r="B113" s="119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  <c r="U113" s="14"/>
      <c r="V113" s="14"/>
    </row>
    <row r="114" spans="2:22" x14ac:dyDescent="0.25">
      <c r="B114" s="119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 x14ac:dyDescent="0.25">
      <c r="B115" s="119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  <c r="U115" s="14"/>
      <c r="V115" s="14"/>
    </row>
    <row r="116" spans="2:22" s="10" customFormat="1" x14ac:dyDescent="0.2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45" customHeight="1" x14ac:dyDescent="0.25">
      <c r="B117" s="116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x14ac:dyDescent="0.25">
      <c r="B118" s="117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 x14ac:dyDescent="0.25">
      <c r="B119" s="117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x14ac:dyDescent="0.25">
      <c r="B120" s="117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  <c r="U120" s="14"/>
      <c r="V120" s="14"/>
    </row>
    <row r="121" spans="2:22" x14ac:dyDescent="0.25">
      <c r="B121" s="117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  <c r="U121" s="14"/>
      <c r="V121" s="14"/>
    </row>
    <row r="122" spans="2:22" x14ac:dyDescent="0.25">
      <c r="B122" s="117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  <c r="U122" s="14"/>
      <c r="V122" s="14"/>
    </row>
    <row r="123" spans="2:22" x14ac:dyDescent="0.25">
      <c r="B123" s="117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 x14ac:dyDescent="0.25">
      <c r="B124" s="117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 x14ac:dyDescent="0.25">
      <c r="B125" s="117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x14ac:dyDescent="0.25">
      <c r="B126" s="117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 x14ac:dyDescent="0.25">
      <c r="B127" s="117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 x14ac:dyDescent="0.25">
      <c r="B128" s="117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  <c r="U128" s="14"/>
      <c r="V128" s="14"/>
    </row>
    <row r="129" spans="2:22" x14ac:dyDescent="0.25">
      <c r="B129" s="117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 x14ac:dyDescent="0.25">
      <c r="B130" s="117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  <c r="U130" s="14"/>
      <c r="V130" s="14"/>
    </row>
    <row r="131" spans="2:22" x14ac:dyDescent="0.25">
      <c r="B131" s="117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 x14ac:dyDescent="0.25">
      <c r="B132" s="117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  <c r="U132" s="14"/>
      <c r="V132" s="14"/>
    </row>
    <row r="133" spans="2:22" x14ac:dyDescent="0.25">
      <c r="B133" s="117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  <c r="U133" s="14"/>
      <c r="V133" s="14"/>
    </row>
    <row r="134" spans="2:22" x14ac:dyDescent="0.25">
      <c r="B134" s="117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 x14ac:dyDescent="0.25">
      <c r="B135" s="117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  <c r="U135" s="14"/>
      <c r="V135" s="14"/>
    </row>
    <row r="136" spans="2:22" x14ac:dyDescent="0.25">
      <c r="B136" s="117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 x14ac:dyDescent="0.25">
      <c r="B137" s="117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  <c r="U137" s="14"/>
      <c r="V137" s="14"/>
    </row>
    <row r="138" spans="2:22" x14ac:dyDescent="0.25">
      <c r="B138" s="118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</sheetData>
  <mergeCells count="11">
    <mergeCell ref="B5:B20"/>
    <mergeCell ref="B22:B52"/>
    <mergeCell ref="B54:B83"/>
    <mergeCell ref="B85:B115"/>
    <mergeCell ref="B117:B138"/>
    <mergeCell ref="R2:S3"/>
    <mergeCell ref="B2:D3"/>
    <mergeCell ref="F2:G3"/>
    <mergeCell ref="I2:J3"/>
    <mergeCell ref="L2:M3"/>
    <mergeCell ref="O2:P3"/>
  </mergeCells>
  <conditionalFormatting sqref="F5:F20 F22:F52 F54:F83 F85:F115 F117:F138">
    <cfRule type="cellIs" dxfId="55" priority="25" operator="equal">
      <formula>0</formula>
    </cfRule>
  </conditionalFormatting>
  <conditionalFormatting sqref="F5:F138">
    <cfRule type="cellIs" dxfId="54" priority="30" operator="greaterThan">
      <formula>0</formula>
    </cfRule>
  </conditionalFormatting>
  <conditionalFormatting sqref="I5:I20 I22:I52 I54:I83 I85:I115 I117:I138">
    <cfRule type="cellIs" dxfId="53" priority="24" operator="equal">
      <formula>0</formula>
    </cfRule>
  </conditionalFormatting>
  <conditionalFormatting sqref="I5:I138">
    <cfRule type="cellIs" dxfId="52" priority="29" operator="greaterThan">
      <formula>0</formula>
    </cfRule>
  </conditionalFormatting>
  <conditionalFormatting sqref="L5:L20 L22:L52 L54:L83 L85:L115 L117:L138">
    <cfRule type="cellIs" dxfId="51" priority="23" operator="equal">
      <formula>0</formula>
    </cfRule>
  </conditionalFormatting>
  <conditionalFormatting sqref="L5:L138">
    <cfRule type="cellIs" dxfId="50" priority="28" operator="greaterThan">
      <formula>0</formula>
    </cfRule>
  </conditionalFormatting>
  <conditionalFormatting sqref="O5:O20 O22:O52 O54:O83 O85:O115 O117:O138">
    <cfRule type="cellIs" dxfId="49" priority="22" operator="equal">
      <formula>0</formula>
    </cfRule>
  </conditionalFormatting>
  <conditionalFormatting sqref="O5:O138">
    <cfRule type="cellIs" dxfId="48" priority="27" operator="greaterThan">
      <formula>0</formula>
    </cfRule>
  </conditionalFormatting>
  <conditionalFormatting sqref="R5:R20">
    <cfRule type="cellIs" dxfId="47" priority="17" operator="equal">
      <formula>0</formula>
    </cfRule>
  </conditionalFormatting>
  <conditionalFormatting sqref="R5:R138">
    <cfRule type="cellIs" dxfId="46" priority="2" operator="greaterThan">
      <formula>0</formula>
    </cfRule>
  </conditionalFormatting>
  <conditionalFormatting sqref="R22:R52">
    <cfRule type="cellIs" dxfId="45" priority="13" operator="equal">
      <formula>0</formula>
    </cfRule>
  </conditionalFormatting>
  <conditionalFormatting sqref="R54:R83">
    <cfRule type="cellIs" dxfId="44" priority="5" operator="equal">
      <formula>0</formula>
    </cfRule>
  </conditionalFormatting>
  <conditionalFormatting sqref="R85:R115">
    <cfRule type="cellIs" dxfId="43" priority="1" operator="equal">
      <formula>0</formula>
    </cfRule>
  </conditionalFormatting>
  <conditionalFormatting sqref="R117:R138">
    <cfRule type="cellIs" dxfId="42" priority="2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V138"/>
  <sheetViews>
    <sheetView zoomScale="70" zoomScaleNormal="70" workbookViewId="0">
      <pane xSplit="5" ySplit="4" topLeftCell="F54" activePane="bottomRight" state="frozen"/>
      <selection pane="topRight" activeCell="F1" sqref="F1"/>
      <selection pane="bottomLeft" activeCell="A5" sqref="A5"/>
      <selection pane="bottomRight" activeCell="F94" sqref="F94"/>
    </sheetView>
  </sheetViews>
  <sheetFormatPr defaultColWidth="10.85546875" defaultRowHeight="15" x14ac:dyDescent="0.25"/>
  <cols>
    <col min="1" max="1" width="2.5703125" style="1" customWidth="1"/>
    <col min="2" max="2" width="6.140625" style="1" customWidth="1"/>
    <col min="3" max="3" width="2.5703125" style="1" customWidth="1"/>
    <col min="4" max="4" width="5.140625" style="2" customWidth="1"/>
    <col min="5" max="5" width="2.5703125" style="1" customWidth="1"/>
    <col min="6" max="6" width="5.140625" style="2" customWidth="1"/>
    <col min="7" max="7" width="35.5703125" style="6" customWidth="1"/>
    <col min="8" max="8" width="2.5703125" style="1" customWidth="1"/>
    <col min="9" max="9" width="5.140625" style="2" customWidth="1"/>
    <col min="10" max="10" width="35.5703125" style="7" customWidth="1"/>
    <col min="11" max="11" width="2.5703125" style="1" customWidth="1"/>
    <col min="12" max="12" width="5.140625" style="2" customWidth="1"/>
    <col min="13" max="13" width="35.5703125" style="8" customWidth="1"/>
    <col min="14" max="14" width="2.5703125" style="1" customWidth="1"/>
    <col min="15" max="15" width="5.140625" style="2" customWidth="1"/>
    <col min="16" max="16" width="35.5703125" style="9" customWidth="1"/>
    <col min="17" max="17" width="2.5703125" style="1" customWidth="1"/>
    <col min="18" max="18" width="5.140625" style="2" customWidth="1"/>
    <col min="19" max="19" width="35.5703125" style="13" customWidth="1"/>
    <col min="20" max="16384" width="10.85546875" style="1"/>
  </cols>
  <sheetData>
    <row r="1" spans="2:22" ht="15" customHeight="1" x14ac:dyDescent="0.25"/>
    <row r="2" spans="2:22" ht="14.45" customHeight="1" x14ac:dyDescent="0.25">
      <c r="B2" s="106" t="s">
        <v>43</v>
      </c>
      <c r="C2" s="107"/>
      <c r="D2" s="108"/>
      <c r="F2" s="112" t="s">
        <v>15</v>
      </c>
      <c r="G2" s="112"/>
      <c r="H2" s="3"/>
      <c r="I2" s="113" t="s">
        <v>16</v>
      </c>
      <c r="J2" s="113"/>
      <c r="L2" s="114" t="s">
        <v>17</v>
      </c>
      <c r="M2" s="114"/>
      <c r="O2" s="115" t="s">
        <v>18</v>
      </c>
      <c r="P2" s="115"/>
      <c r="R2" s="105" t="s">
        <v>19</v>
      </c>
      <c r="S2" s="105"/>
    </row>
    <row r="3" spans="2:22" ht="14.45" customHeight="1" x14ac:dyDescent="0.25">
      <c r="B3" s="109"/>
      <c r="C3" s="110"/>
      <c r="D3" s="111"/>
      <c r="F3" s="112"/>
      <c r="G3" s="112"/>
      <c r="H3" s="3"/>
      <c r="I3" s="113"/>
      <c r="J3" s="113"/>
      <c r="L3" s="114"/>
      <c r="M3" s="114"/>
      <c r="O3" s="115"/>
      <c r="P3" s="115"/>
      <c r="R3" s="105"/>
      <c r="S3" s="105"/>
    </row>
    <row r="4" spans="2:22" ht="14.45" customHeight="1" x14ac:dyDescent="0.25"/>
    <row r="5" spans="2:22" ht="14.45" customHeight="1" x14ac:dyDescent="0.25">
      <c r="B5" s="116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45" customHeight="1" x14ac:dyDescent="0.25">
      <c r="B6" s="117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45" customHeight="1" x14ac:dyDescent="0.25">
      <c r="B7" s="117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45" customHeight="1" x14ac:dyDescent="0.25">
      <c r="B8" s="117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45" customHeight="1" x14ac:dyDescent="0.25">
      <c r="B9" s="117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45" customHeight="1" x14ac:dyDescent="0.25">
      <c r="B10" s="117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45" customHeight="1" x14ac:dyDescent="0.25">
      <c r="B11" s="117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45" customHeight="1" x14ac:dyDescent="0.25">
      <c r="B12" s="117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45" customHeight="1" x14ac:dyDescent="0.25">
      <c r="B13" s="117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45" customHeight="1" x14ac:dyDescent="0.25">
      <c r="B14" s="117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45" customHeight="1" x14ac:dyDescent="0.25">
      <c r="B15" s="117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45" customHeight="1" x14ac:dyDescent="0.25">
      <c r="B16" s="117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45" customHeight="1" x14ac:dyDescent="0.25">
      <c r="B17" s="117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45" customHeight="1" x14ac:dyDescent="0.25">
      <c r="B18" s="117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45" customHeight="1" x14ac:dyDescent="0.25">
      <c r="B19" s="117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45" customHeight="1" x14ac:dyDescent="0.25">
      <c r="B20" s="118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45" customHeight="1" x14ac:dyDescent="0.2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45" customHeight="1" x14ac:dyDescent="0.25">
      <c r="B22" s="119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45" customHeight="1" x14ac:dyDescent="0.25">
      <c r="B23" s="119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45" customHeight="1" x14ac:dyDescent="0.25">
      <c r="B24" s="119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45" customHeight="1" x14ac:dyDescent="0.25">
      <c r="B25" s="119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45" customHeight="1" x14ac:dyDescent="0.25">
      <c r="B26" s="119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45" customHeight="1" x14ac:dyDescent="0.25">
      <c r="B27" s="119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45" customHeight="1" x14ac:dyDescent="0.25">
      <c r="B28" s="119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45" customHeight="1" x14ac:dyDescent="0.25">
      <c r="B29" s="119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45" customHeight="1" x14ac:dyDescent="0.25">
      <c r="B30" s="119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45" customHeight="1" x14ac:dyDescent="0.25">
      <c r="B31" s="119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45" customHeight="1" x14ac:dyDescent="0.25">
      <c r="B32" s="119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45" customHeight="1" x14ac:dyDescent="0.25">
      <c r="B33" s="119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45" customHeight="1" x14ac:dyDescent="0.25">
      <c r="B34" s="119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  <c r="U34" s="14"/>
      <c r="V34" s="14"/>
    </row>
    <row r="35" spans="2:22" ht="14.45" customHeight="1" x14ac:dyDescent="0.25">
      <c r="B35" s="119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45" customHeight="1" x14ac:dyDescent="0.25">
      <c r="B36" s="119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45" customHeight="1" x14ac:dyDescent="0.25">
      <c r="B37" s="119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45" customHeight="1" x14ac:dyDescent="0.25">
      <c r="B38" s="119"/>
      <c r="D38" s="22">
        <v>17</v>
      </c>
      <c r="F38" s="76">
        <v>4</v>
      </c>
      <c r="G38" s="4" t="s">
        <v>44</v>
      </c>
      <c r="H38" s="90"/>
      <c r="I38" s="77">
        <v>2</v>
      </c>
      <c r="J38" s="57" t="s">
        <v>45</v>
      </c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45" customHeight="1" x14ac:dyDescent="0.25">
      <c r="B39" s="119"/>
      <c r="D39" s="22">
        <v>18</v>
      </c>
      <c r="F39" s="76">
        <v>0</v>
      </c>
      <c r="G39" s="4"/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45" customHeight="1" x14ac:dyDescent="0.25">
      <c r="B40" s="119"/>
      <c r="D40" s="22">
        <v>19</v>
      </c>
      <c r="F40" s="76">
        <v>0</v>
      </c>
      <c r="G40" s="4"/>
      <c r="H40" s="90"/>
      <c r="I40" s="77">
        <v>0</v>
      </c>
      <c r="J40" s="57"/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45" customHeight="1" x14ac:dyDescent="0.25">
      <c r="B41" s="119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  <c r="U41" s="14"/>
      <c r="V41" s="14"/>
    </row>
    <row r="42" spans="2:22" ht="14.45" customHeight="1" x14ac:dyDescent="0.25">
      <c r="B42" s="119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45" customHeight="1" x14ac:dyDescent="0.25">
      <c r="B43" s="119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45" customHeight="1" x14ac:dyDescent="0.25">
      <c r="B44" s="119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45" customHeight="1" x14ac:dyDescent="0.25">
      <c r="B45" s="119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45" customHeight="1" x14ac:dyDescent="0.25">
      <c r="B46" s="119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45" customHeight="1" x14ac:dyDescent="0.25">
      <c r="B47" s="119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45" customHeight="1" x14ac:dyDescent="0.25">
      <c r="B48" s="119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45" customHeight="1" x14ac:dyDescent="0.25">
      <c r="B49" s="119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45" customHeight="1" x14ac:dyDescent="0.25">
      <c r="B50" s="119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45" customHeight="1" x14ac:dyDescent="0.25">
      <c r="B51" s="119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45" customHeight="1" x14ac:dyDescent="0.25">
      <c r="B52" s="119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45" customHeight="1" x14ac:dyDescent="0.2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45" customHeight="1" x14ac:dyDescent="0.25">
      <c r="B54" s="119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45" customHeight="1" x14ac:dyDescent="0.25">
      <c r="B55" s="119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45" customHeight="1" x14ac:dyDescent="0.25">
      <c r="B56" s="119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45" customHeight="1" x14ac:dyDescent="0.25">
      <c r="B57" s="119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45" customHeight="1" x14ac:dyDescent="0.25">
      <c r="B58" s="119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45" customHeight="1" x14ac:dyDescent="0.25">
      <c r="B59" s="119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45" customHeight="1" x14ac:dyDescent="0.25">
      <c r="B60" s="119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45" customHeight="1" x14ac:dyDescent="0.25">
      <c r="B61" s="119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45" customHeight="1" x14ac:dyDescent="0.25">
      <c r="B62" s="119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x14ac:dyDescent="0.25">
      <c r="B63" s="119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x14ac:dyDescent="0.25">
      <c r="B64" s="119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x14ac:dyDescent="0.25">
      <c r="B65" s="119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x14ac:dyDescent="0.25">
      <c r="B66" s="119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 x14ac:dyDescent="0.25">
      <c r="B67" s="119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x14ac:dyDescent="0.25">
      <c r="B68" s="119"/>
      <c r="D68" s="22">
        <v>15</v>
      </c>
      <c r="F68" s="76">
        <v>3</v>
      </c>
      <c r="G68" s="4" t="s">
        <v>46</v>
      </c>
      <c r="H68" s="90"/>
      <c r="I68" s="77">
        <v>0</v>
      </c>
      <c r="J68" s="57"/>
      <c r="K68" s="90"/>
      <c r="L68" s="78">
        <v>3</v>
      </c>
      <c r="M68" s="58" t="s">
        <v>47</v>
      </c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x14ac:dyDescent="0.25">
      <c r="B69" s="119"/>
      <c r="D69" s="22">
        <v>16</v>
      </c>
      <c r="F69" s="76">
        <v>0</v>
      </c>
      <c r="G69" s="4"/>
      <c r="H69" s="90"/>
      <c r="I69" s="77">
        <v>0</v>
      </c>
      <c r="J69" s="57"/>
      <c r="K69" s="90"/>
      <c r="L69" s="78">
        <v>0</v>
      </c>
      <c r="M69" s="58"/>
      <c r="N69" s="90"/>
      <c r="O69" s="79">
        <v>0</v>
      </c>
      <c r="P69" s="59"/>
      <c r="Q69" s="90"/>
      <c r="R69" s="80">
        <v>0</v>
      </c>
      <c r="S69" s="60"/>
      <c r="U69" s="14"/>
      <c r="V69" s="14"/>
    </row>
    <row r="70" spans="2:22" x14ac:dyDescent="0.25">
      <c r="B70" s="119"/>
      <c r="D70" s="56">
        <v>17</v>
      </c>
      <c r="F70" s="76">
        <v>2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 x14ac:dyDescent="0.25">
      <c r="B71" s="119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 x14ac:dyDescent="0.25">
      <c r="B72" s="119"/>
      <c r="D72" s="22">
        <v>19</v>
      </c>
      <c r="F72" s="76">
        <v>0</v>
      </c>
      <c r="G72" s="4"/>
      <c r="H72" s="90"/>
      <c r="I72" s="77">
        <v>0</v>
      </c>
      <c r="J72" s="57"/>
      <c r="K72" s="90"/>
      <c r="L72" s="78">
        <v>0</v>
      </c>
      <c r="M72" s="58"/>
      <c r="N72" s="90"/>
      <c r="O72" s="79">
        <v>2</v>
      </c>
      <c r="P72" s="59"/>
      <c r="Q72" s="90"/>
      <c r="R72" s="80">
        <v>0</v>
      </c>
      <c r="S72" s="60"/>
      <c r="U72" s="14"/>
      <c r="V72" s="14"/>
    </row>
    <row r="73" spans="2:22" x14ac:dyDescent="0.25">
      <c r="B73" s="119"/>
      <c r="D73" s="22">
        <v>20</v>
      </c>
      <c r="F73" s="76">
        <v>2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2</v>
      </c>
      <c r="P73" s="59"/>
      <c r="Q73" s="90"/>
      <c r="R73" s="80">
        <v>0</v>
      </c>
      <c r="S73" s="60"/>
      <c r="U73" s="14"/>
      <c r="V73" s="14"/>
    </row>
    <row r="74" spans="2:22" x14ac:dyDescent="0.25">
      <c r="B74" s="119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  <c r="U74" s="14"/>
      <c r="V74" s="14"/>
    </row>
    <row r="75" spans="2:22" x14ac:dyDescent="0.25">
      <c r="B75" s="119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 x14ac:dyDescent="0.25">
      <c r="B76" s="119"/>
      <c r="D76" s="22">
        <v>23</v>
      </c>
      <c r="F76" s="76">
        <v>3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x14ac:dyDescent="0.25">
      <c r="B77" s="119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3</v>
      </c>
      <c r="P77" s="59"/>
      <c r="Q77" s="90"/>
      <c r="R77" s="80">
        <v>1</v>
      </c>
      <c r="S77" s="60" t="s">
        <v>24</v>
      </c>
      <c r="U77" s="14"/>
      <c r="V77" s="14"/>
    </row>
    <row r="78" spans="2:22" x14ac:dyDescent="0.25">
      <c r="B78" s="119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 x14ac:dyDescent="0.25">
      <c r="B79" s="119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  <c r="U79" s="14"/>
      <c r="V79" s="14"/>
    </row>
    <row r="80" spans="2:22" x14ac:dyDescent="0.25">
      <c r="B80" s="119"/>
      <c r="D80" s="22">
        <v>27</v>
      </c>
      <c r="F80" s="76">
        <v>2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2</v>
      </c>
      <c r="P80" s="59"/>
      <c r="Q80" s="90"/>
      <c r="R80" s="80">
        <v>0</v>
      </c>
      <c r="S80" s="60"/>
      <c r="U80" s="14"/>
      <c r="V80" s="14"/>
    </row>
    <row r="81" spans="2:22" x14ac:dyDescent="0.25">
      <c r="B81" s="119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0</v>
      </c>
      <c r="S81" s="60"/>
      <c r="U81" s="14"/>
      <c r="V81" s="14"/>
    </row>
    <row r="82" spans="2:22" x14ac:dyDescent="0.25">
      <c r="B82" s="119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  <c r="U82" s="14"/>
      <c r="V82" s="14"/>
    </row>
    <row r="83" spans="2:22" x14ac:dyDescent="0.25">
      <c r="B83" s="119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 x14ac:dyDescent="0.2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x14ac:dyDescent="0.25">
      <c r="B85" s="119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x14ac:dyDescent="0.25">
      <c r="B86" s="119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>
        <v>0</v>
      </c>
      <c r="M86" s="58"/>
      <c r="N86" s="90"/>
      <c r="O86" s="79">
        <v>0</v>
      </c>
      <c r="P86" s="59"/>
      <c r="Q86" s="90"/>
      <c r="R86" s="80">
        <v>0</v>
      </c>
      <c r="S86" s="60"/>
      <c r="U86" s="14"/>
      <c r="V86" s="14"/>
    </row>
    <row r="87" spans="2:22" x14ac:dyDescent="0.25">
      <c r="B87" s="119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3</v>
      </c>
      <c r="P87" s="59"/>
      <c r="Q87" s="90"/>
      <c r="R87" s="80">
        <v>0</v>
      </c>
      <c r="S87" s="60"/>
      <c r="U87" s="14"/>
      <c r="V87" s="14"/>
    </row>
    <row r="88" spans="2:22" x14ac:dyDescent="0.25">
      <c r="B88" s="119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  <c r="U88" s="14"/>
      <c r="V88" s="14"/>
    </row>
    <row r="89" spans="2:22" x14ac:dyDescent="0.25">
      <c r="B89" s="119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3</v>
      </c>
      <c r="S89" s="60" t="s">
        <v>39</v>
      </c>
      <c r="U89" s="14"/>
      <c r="V89" s="14"/>
    </row>
    <row r="90" spans="2:22" x14ac:dyDescent="0.25">
      <c r="B90" s="119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0</v>
      </c>
      <c r="M90" s="58"/>
      <c r="N90" s="90"/>
      <c r="O90" s="79">
        <v>0</v>
      </c>
      <c r="P90" s="59"/>
      <c r="Q90" s="90"/>
      <c r="R90" s="80">
        <v>0</v>
      </c>
      <c r="S90" s="60"/>
      <c r="U90" s="14"/>
      <c r="V90" s="14"/>
    </row>
    <row r="91" spans="2:22" x14ac:dyDescent="0.25">
      <c r="B91" s="119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x14ac:dyDescent="0.25">
      <c r="B92" s="119"/>
      <c r="D92" s="22">
        <v>8</v>
      </c>
      <c r="F92" s="76">
        <v>0</v>
      </c>
      <c r="G92" s="4"/>
      <c r="H92" s="90"/>
      <c r="I92" s="77">
        <v>0</v>
      </c>
      <c r="J92" s="57"/>
      <c r="K92" s="90"/>
      <c r="L92" s="78">
        <v>0</v>
      </c>
      <c r="M92" s="58"/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x14ac:dyDescent="0.25">
      <c r="B93" s="119"/>
      <c r="D93" s="22">
        <v>9</v>
      </c>
      <c r="F93" s="76">
        <v>2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 x14ac:dyDescent="0.25">
      <c r="B94" s="119"/>
      <c r="D94" s="22">
        <v>10</v>
      </c>
      <c r="F94" s="76">
        <v>0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  <c r="U94" s="14"/>
      <c r="V94" s="14"/>
    </row>
    <row r="95" spans="2:22" x14ac:dyDescent="0.25">
      <c r="B95" s="119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3</v>
      </c>
      <c r="P95" s="59"/>
      <c r="Q95" s="90"/>
      <c r="R95" s="80">
        <v>0</v>
      </c>
      <c r="S95" s="60"/>
      <c r="U95" s="14"/>
      <c r="V95" s="14"/>
    </row>
    <row r="96" spans="2:22" x14ac:dyDescent="0.25">
      <c r="B96" s="119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x14ac:dyDescent="0.25">
      <c r="B97" s="119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x14ac:dyDescent="0.25">
      <c r="B98" s="119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 x14ac:dyDescent="0.25">
      <c r="B99" s="119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  <c r="U99" s="14"/>
      <c r="V99" s="14"/>
    </row>
    <row r="100" spans="2:22" x14ac:dyDescent="0.25">
      <c r="B100" s="119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 x14ac:dyDescent="0.25">
      <c r="B101" s="119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x14ac:dyDescent="0.25">
      <c r="B102" s="119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 x14ac:dyDescent="0.25">
      <c r="B103" s="119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  <c r="U103" s="14"/>
      <c r="V103" s="14"/>
    </row>
    <row r="104" spans="2:22" x14ac:dyDescent="0.25">
      <c r="B104" s="119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x14ac:dyDescent="0.25">
      <c r="B105" s="119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x14ac:dyDescent="0.25">
      <c r="B106" s="119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  <c r="U106" s="14"/>
      <c r="V106" s="14"/>
    </row>
    <row r="107" spans="2:22" x14ac:dyDescent="0.25">
      <c r="B107" s="119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x14ac:dyDescent="0.25">
      <c r="B108" s="119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 x14ac:dyDescent="0.25">
      <c r="B109" s="119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  <c r="U109" s="14"/>
      <c r="V109" s="14"/>
    </row>
    <row r="110" spans="2:22" x14ac:dyDescent="0.25">
      <c r="B110" s="119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 x14ac:dyDescent="0.25">
      <c r="B111" s="119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x14ac:dyDescent="0.25">
      <c r="B112" s="119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 x14ac:dyDescent="0.25">
      <c r="B113" s="119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  <c r="U113" s="14"/>
      <c r="V113" s="14"/>
    </row>
    <row r="114" spans="2:22" x14ac:dyDescent="0.25">
      <c r="B114" s="119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 x14ac:dyDescent="0.25">
      <c r="B115" s="119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  <c r="U115" s="14"/>
      <c r="V115" s="14"/>
    </row>
    <row r="116" spans="2:22" s="10" customFormat="1" x14ac:dyDescent="0.2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45" customHeight="1" x14ac:dyDescent="0.25">
      <c r="B117" s="116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x14ac:dyDescent="0.25">
      <c r="B118" s="117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 x14ac:dyDescent="0.25">
      <c r="B119" s="117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x14ac:dyDescent="0.25">
      <c r="B120" s="117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  <c r="U120" s="14"/>
      <c r="V120" s="14"/>
    </row>
    <row r="121" spans="2:22" x14ac:dyDescent="0.25">
      <c r="B121" s="117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  <c r="U121" s="14"/>
      <c r="V121" s="14"/>
    </row>
    <row r="122" spans="2:22" x14ac:dyDescent="0.25">
      <c r="B122" s="117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  <c r="U122" s="14"/>
      <c r="V122" s="14"/>
    </row>
    <row r="123" spans="2:22" x14ac:dyDescent="0.25">
      <c r="B123" s="117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 x14ac:dyDescent="0.25">
      <c r="B124" s="117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 x14ac:dyDescent="0.25">
      <c r="B125" s="117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x14ac:dyDescent="0.25">
      <c r="B126" s="117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 x14ac:dyDescent="0.25">
      <c r="B127" s="117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 x14ac:dyDescent="0.25">
      <c r="B128" s="117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  <c r="U128" s="14"/>
      <c r="V128" s="14"/>
    </row>
    <row r="129" spans="2:22" x14ac:dyDescent="0.25">
      <c r="B129" s="117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 x14ac:dyDescent="0.25">
      <c r="B130" s="117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  <c r="U130" s="14"/>
      <c r="V130" s="14"/>
    </row>
    <row r="131" spans="2:22" x14ac:dyDescent="0.25">
      <c r="B131" s="117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 x14ac:dyDescent="0.25">
      <c r="B132" s="117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  <c r="U132" s="14"/>
      <c r="V132" s="14"/>
    </row>
    <row r="133" spans="2:22" x14ac:dyDescent="0.25">
      <c r="B133" s="117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  <c r="U133" s="14"/>
      <c r="V133" s="14"/>
    </row>
    <row r="134" spans="2:22" x14ac:dyDescent="0.25">
      <c r="B134" s="117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 x14ac:dyDescent="0.25">
      <c r="B135" s="117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  <c r="U135" s="14"/>
      <c r="V135" s="14"/>
    </row>
    <row r="136" spans="2:22" x14ac:dyDescent="0.25">
      <c r="B136" s="117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 x14ac:dyDescent="0.25">
      <c r="B137" s="117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  <c r="U137" s="14"/>
      <c r="V137" s="14"/>
    </row>
    <row r="138" spans="2:22" x14ac:dyDescent="0.25">
      <c r="B138" s="118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</sheetData>
  <mergeCells count="11">
    <mergeCell ref="B5:B20"/>
    <mergeCell ref="B22:B52"/>
    <mergeCell ref="B54:B83"/>
    <mergeCell ref="B85:B115"/>
    <mergeCell ref="B117:B138"/>
    <mergeCell ref="R2:S3"/>
    <mergeCell ref="B2:D3"/>
    <mergeCell ref="F2:G3"/>
    <mergeCell ref="I2:J3"/>
    <mergeCell ref="L2:M3"/>
    <mergeCell ref="O2:P3"/>
  </mergeCells>
  <conditionalFormatting sqref="F5:F20 F22:F52 F54:F83 F85:F115 F117:F138">
    <cfRule type="cellIs" dxfId="41" priority="25" operator="equal">
      <formula>0</formula>
    </cfRule>
  </conditionalFormatting>
  <conditionalFormatting sqref="F5:F138">
    <cfRule type="cellIs" dxfId="40" priority="30" operator="greaterThan">
      <formula>0</formula>
    </cfRule>
  </conditionalFormatting>
  <conditionalFormatting sqref="I5:I20 I22:I52 I54:I83 I85:I115 I117:I138">
    <cfRule type="cellIs" dxfId="39" priority="24" operator="equal">
      <formula>0</formula>
    </cfRule>
  </conditionalFormatting>
  <conditionalFormatting sqref="I5:I138">
    <cfRule type="cellIs" dxfId="38" priority="29" operator="greaterThan">
      <formula>0</formula>
    </cfRule>
  </conditionalFormatting>
  <conditionalFormatting sqref="L5:L20 L22:L52 L54:L83 L85:L115 L117:L138">
    <cfRule type="cellIs" dxfId="37" priority="23" operator="equal">
      <formula>0</formula>
    </cfRule>
  </conditionalFormatting>
  <conditionalFormatting sqref="L5:L138">
    <cfRule type="cellIs" dxfId="36" priority="28" operator="greaterThan">
      <formula>0</formula>
    </cfRule>
  </conditionalFormatting>
  <conditionalFormatting sqref="O5:O20 O22:O52 O54:O83 O85:O115 O117:O138">
    <cfRule type="cellIs" dxfId="35" priority="22" operator="equal">
      <formula>0</formula>
    </cfRule>
  </conditionalFormatting>
  <conditionalFormatting sqref="O5:O138">
    <cfRule type="cellIs" dxfId="34" priority="27" operator="greaterThan">
      <formula>0</formula>
    </cfRule>
  </conditionalFormatting>
  <conditionalFormatting sqref="R5:R20">
    <cfRule type="cellIs" dxfId="33" priority="17" operator="equal">
      <formula>0</formula>
    </cfRule>
  </conditionalFormatting>
  <conditionalFormatting sqref="R5:R138">
    <cfRule type="cellIs" dxfId="32" priority="2" operator="greaterThan">
      <formula>0</formula>
    </cfRule>
  </conditionalFormatting>
  <conditionalFormatting sqref="R22:R52">
    <cfRule type="cellIs" dxfId="31" priority="13" operator="equal">
      <formula>0</formula>
    </cfRule>
  </conditionalFormatting>
  <conditionalFormatting sqref="R54:R83">
    <cfRule type="cellIs" dxfId="30" priority="5" operator="equal">
      <formula>0</formula>
    </cfRule>
  </conditionalFormatting>
  <conditionalFormatting sqref="R85:R115">
    <cfRule type="cellIs" dxfId="29" priority="1" operator="equal">
      <formula>0</formula>
    </cfRule>
  </conditionalFormatting>
  <conditionalFormatting sqref="R117:R138">
    <cfRule type="cellIs" dxfId="28" priority="2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V190"/>
  <sheetViews>
    <sheetView zoomScale="70" zoomScaleNormal="70" workbookViewId="0">
      <pane xSplit="5" ySplit="4" topLeftCell="F69" activePane="bottomRight" state="frozen"/>
      <selection pane="topRight" activeCell="F1" sqref="F1"/>
      <selection pane="bottomLeft" activeCell="A5" sqref="A5"/>
      <selection pane="bottomRight" activeCell="L86" sqref="L86"/>
    </sheetView>
  </sheetViews>
  <sheetFormatPr defaultColWidth="10.85546875" defaultRowHeight="15" x14ac:dyDescent="0.25"/>
  <cols>
    <col min="1" max="1" width="2.5703125" style="1" customWidth="1"/>
    <col min="2" max="2" width="6.140625" style="1" customWidth="1"/>
    <col min="3" max="3" width="2.5703125" style="1" customWidth="1"/>
    <col min="4" max="4" width="5.140625" style="2" customWidth="1"/>
    <col min="5" max="5" width="2.5703125" style="1" customWidth="1"/>
    <col min="6" max="6" width="5.140625" style="2" customWidth="1"/>
    <col min="7" max="7" width="35.5703125" style="6" customWidth="1"/>
    <col min="8" max="8" width="2.5703125" style="1" customWidth="1"/>
    <col min="9" max="9" width="5.140625" style="2" customWidth="1"/>
    <col min="10" max="10" width="35.5703125" style="7" customWidth="1"/>
    <col min="11" max="11" width="2.5703125" style="1" customWidth="1"/>
    <col min="12" max="12" width="5.140625" style="2" customWidth="1"/>
    <col min="13" max="13" width="35.5703125" style="8" customWidth="1"/>
    <col min="14" max="14" width="2.5703125" style="1" customWidth="1"/>
    <col min="15" max="15" width="5.140625" style="2" customWidth="1"/>
    <col min="16" max="16" width="35.5703125" style="9" customWidth="1"/>
    <col min="17" max="17" width="2.5703125" style="1" customWidth="1"/>
    <col min="18" max="18" width="5.140625" style="2" customWidth="1"/>
    <col min="19" max="19" width="35.5703125" style="13" customWidth="1"/>
    <col min="20" max="16384" width="10.85546875" style="1"/>
  </cols>
  <sheetData>
    <row r="1" spans="2:22" ht="15" customHeight="1" x14ac:dyDescent="0.25"/>
    <row r="2" spans="2:22" ht="14.45" customHeight="1" x14ac:dyDescent="0.25">
      <c r="B2" s="106" t="s">
        <v>48</v>
      </c>
      <c r="C2" s="107"/>
      <c r="D2" s="108"/>
      <c r="F2" s="112" t="s">
        <v>15</v>
      </c>
      <c r="G2" s="112"/>
      <c r="H2" s="3"/>
      <c r="I2" s="113" t="s">
        <v>16</v>
      </c>
      <c r="J2" s="113"/>
      <c r="L2" s="114" t="s">
        <v>17</v>
      </c>
      <c r="M2" s="114"/>
      <c r="O2" s="115" t="s">
        <v>18</v>
      </c>
      <c r="P2" s="115"/>
      <c r="R2" s="105" t="s">
        <v>19</v>
      </c>
      <c r="S2" s="105"/>
    </row>
    <row r="3" spans="2:22" ht="14.45" customHeight="1" x14ac:dyDescent="0.25">
      <c r="B3" s="109"/>
      <c r="C3" s="110"/>
      <c r="D3" s="111"/>
      <c r="F3" s="112"/>
      <c r="G3" s="112"/>
      <c r="H3" s="3"/>
      <c r="I3" s="113"/>
      <c r="J3" s="113"/>
      <c r="L3" s="114"/>
      <c r="M3" s="114"/>
      <c r="O3" s="115"/>
      <c r="P3" s="115"/>
      <c r="R3" s="105"/>
      <c r="S3" s="105"/>
    </row>
    <row r="4" spans="2:22" ht="14.45" customHeight="1" x14ac:dyDescent="0.25"/>
    <row r="5" spans="2:22" ht="14.45" customHeight="1" x14ac:dyDescent="0.25">
      <c r="B5" s="116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45" customHeight="1" x14ac:dyDescent="0.25">
      <c r="B6" s="117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45" customHeight="1" x14ac:dyDescent="0.25">
      <c r="B7" s="117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45" customHeight="1" x14ac:dyDescent="0.25">
      <c r="B8" s="117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45" customHeight="1" x14ac:dyDescent="0.25">
      <c r="B9" s="117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45" customHeight="1" x14ac:dyDescent="0.25">
      <c r="B10" s="117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45" customHeight="1" x14ac:dyDescent="0.25">
      <c r="B11" s="117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45" customHeight="1" x14ac:dyDescent="0.25">
      <c r="B12" s="117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45" customHeight="1" x14ac:dyDescent="0.25">
      <c r="B13" s="117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45" customHeight="1" x14ac:dyDescent="0.25">
      <c r="B14" s="117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45" customHeight="1" x14ac:dyDescent="0.25">
      <c r="B15" s="117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45" customHeight="1" x14ac:dyDescent="0.25">
      <c r="B16" s="117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45" customHeight="1" x14ac:dyDescent="0.25">
      <c r="B17" s="117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45" customHeight="1" x14ac:dyDescent="0.25">
      <c r="B18" s="117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45" customHeight="1" x14ac:dyDescent="0.25">
      <c r="B19" s="117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45" customHeight="1" x14ac:dyDescent="0.25">
      <c r="B20" s="118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45" customHeight="1" x14ac:dyDescent="0.2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45" customHeight="1" x14ac:dyDescent="0.25">
      <c r="B22" s="119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45" customHeight="1" x14ac:dyDescent="0.25">
      <c r="B23" s="119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45" customHeight="1" x14ac:dyDescent="0.25">
      <c r="B24" s="119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45" customHeight="1" x14ac:dyDescent="0.25">
      <c r="B25" s="119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45" customHeight="1" x14ac:dyDescent="0.25">
      <c r="B26" s="119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45" customHeight="1" x14ac:dyDescent="0.25">
      <c r="B27" s="119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45" customHeight="1" x14ac:dyDescent="0.25">
      <c r="B28" s="119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45" customHeight="1" x14ac:dyDescent="0.25">
      <c r="B29" s="119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45" customHeight="1" x14ac:dyDescent="0.25">
      <c r="B30" s="119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45" customHeight="1" x14ac:dyDescent="0.25">
      <c r="B31" s="119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45" customHeight="1" x14ac:dyDescent="0.25">
      <c r="B32" s="119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45" customHeight="1" x14ac:dyDescent="0.25">
      <c r="B33" s="119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45" customHeight="1" x14ac:dyDescent="0.25">
      <c r="B34" s="119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1.5</v>
      </c>
      <c r="S34" s="60" t="s">
        <v>28</v>
      </c>
      <c r="U34" s="14"/>
      <c r="V34" s="14"/>
    </row>
    <row r="35" spans="2:22" ht="14.45" customHeight="1" x14ac:dyDescent="0.25">
      <c r="B35" s="119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45" customHeight="1" x14ac:dyDescent="0.25">
      <c r="B36" s="119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45" customHeight="1" x14ac:dyDescent="0.25">
      <c r="B37" s="119"/>
      <c r="D37" s="22">
        <v>16</v>
      </c>
      <c r="F37" s="76">
        <v>1.5</v>
      </c>
      <c r="G37" s="4" t="s">
        <v>49</v>
      </c>
      <c r="H37" s="90"/>
      <c r="I37" s="77">
        <v>5</v>
      </c>
      <c r="J37" s="57" t="s">
        <v>50</v>
      </c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45" customHeight="1" x14ac:dyDescent="0.25">
      <c r="B38" s="119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45" customHeight="1" x14ac:dyDescent="0.25">
      <c r="B39" s="119"/>
      <c r="D39" s="22">
        <v>18</v>
      </c>
      <c r="F39" s="76">
        <v>0</v>
      </c>
      <c r="G39" s="4"/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45" customHeight="1" x14ac:dyDescent="0.25">
      <c r="B40" s="119"/>
      <c r="D40" s="22">
        <v>19</v>
      </c>
      <c r="F40" s="76">
        <v>0</v>
      </c>
      <c r="G40" s="4"/>
      <c r="H40" s="90"/>
      <c r="I40" s="77">
        <v>2</v>
      </c>
      <c r="J40" s="57" t="s">
        <v>51</v>
      </c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45" customHeight="1" x14ac:dyDescent="0.25">
      <c r="B41" s="119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2.5</v>
      </c>
      <c r="S41" s="60" t="s">
        <v>52</v>
      </c>
      <c r="U41" s="14"/>
      <c r="V41" s="14"/>
    </row>
    <row r="42" spans="2:22" ht="14.45" customHeight="1" x14ac:dyDescent="0.25">
      <c r="B42" s="119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45" customHeight="1" x14ac:dyDescent="0.25">
      <c r="B43" s="119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45" customHeight="1" x14ac:dyDescent="0.25">
      <c r="B44" s="119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45" customHeight="1" x14ac:dyDescent="0.25">
      <c r="B45" s="119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45" customHeight="1" x14ac:dyDescent="0.25">
      <c r="B46" s="119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45" customHeight="1" x14ac:dyDescent="0.25">
      <c r="B47" s="119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45" customHeight="1" x14ac:dyDescent="0.25">
      <c r="B48" s="119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45" customHeight="1" x14ac:dyDescent="0.25">
      <c r="B49" s="119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45" customHeight="1" x14ac:dyDescent="0.25">
      <c r="B50" s="119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45" customHeight="1" x14ac:dyDescent="0.25">
      <c r="B51" s="119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45" customHeight="1" x14ac:dyDescent="0.25">
      <c r="B52" s="119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45" customHeight="1" x14ac:dyDescent="0.2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45" customHeight="1" x14ac:dyDescent="0.25">
      <c r="B54" s="119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45" customHeight="1" x14ac:dyDescent="0.25">
      <c r="B55" s="119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45" customHeight="1" x14ac:dyDescent="0.25">
      <c r="B56" s="119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45" customHeight="1" x14ac:dyDescent="0.25">
      <c r="B57" s="119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45" customHeight="1" x14ac:dyDescent="0.25">
      <c r="B58" s="119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45" customHeight="1" x14ac:dyDescent="0.25">
      <c r="B59" s="119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45" customHeight="1" x14ac:dyDescent="0.25">
      <c r="B60" s="119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45" customHeight="1" x14ac:dyDescent="0.25">
      <c r="B61" s="119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45" customHeight="1" x14ac:dyDescent="0.25">
      <c r="B62" s="119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x14ac:dyDescent="0.25">
      <c r="B63" s="119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x14ac:dyDescent="0.25">
      <c r="B64" s="119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x14ac:dyDescent="0.25">
      <c r="B65" s="119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x14ac:dyDescent="0.25">
      <c r="B66" s="119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 x14ac:dyDescent="0.25">
      <c r="B67" s="119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x14ac:dyDescent="0.25">
      <c r="B68" s="119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x14ac:dyDescent="0.25">
      <c r="B69" s="119"/>
      <c r="D69" s="22">
        <v>16</v>
      </c>
      <c r="F69" s="76">
        <v>0</v>
      </c>
      <c r="G69" s="4"/>
      <c r="H69" s="90"/>
      <c r="I69" s="77">
        <v>0</v>
      </c>
      <c r="J69" s="57"/>
      <c r="K69" s="90"/>
      <c r="L69" s="78">
        <v>0</v>
      </c>
      <c r="M69" s="58"/>
      <c r="N69" s="90"/>
      <c r="O69" s="79">
        <v>0</v>
      </c>
      <c r="P69" s="59"/>
      <c r="Q69" s="90"/>
      <c r="R69" s="80">
        <v>0</v>
      </c>
      <c r="S69" s="60"/>
      <c r="U69" s="14"/>
      <c r="V69" s="14"/>
    </row>
    <row r="70" spans="2:22" x14ac:dyDescent="0.25">
      <c r="B70" s="119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 x14ac:dyDescent="0.25">
      <c r="B71" s="119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 x14ac:dyDescent="0.25">
      <c r="B72" s="119"/>
      <c r="D72" s="22">
        <v>19</v>
      </c>
      <c r="F72" s="76">
        <v>0</v>
      </c>
      <c r="G72" s="4"/>
      <c r="H72" s="90"/>
      <c r="I72" s="77">
        <v>0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  <c r="U72" s="14"/>
      <c r="V72" s="14"/>
    </row>
    <row r="73" spans="2:22" x14ac:dyDescent="0.25">
      <c r="B73" s="119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  <c r="U73" s="14"/>
      <c r="V73" s="14"/>
    </row>
    <row r="74" spans="2:22" x14ac:dyDescent="0.25">
      <c r="B74" s="119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  <c r="U74" s="14"/>
      <c r="V74" s="14"/>
    </row>
    <row r="75" spans="2:22" x14ac:dyDescent="0.25">
      <c r="B75" s="119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 x14ac:dyDescent="0.25">
      <c r="B76" s="119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x14ac:dyDescent="0.25">
      <c r="B77" s="119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1</v>
      </c>
      <c r="S77" s="60" t="s">
        <v>24</v>
      </c>
      <c r="U77" s="14"/>
      <c r="V77" s="14"/>
    </row>
    <row r="78" spans="2:22" x14ac:dyDescent="0.25">
      <c r="B78" s="119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 x14ac:dyDescent="0.25">
      <c r="B79" s="119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2</v>
      </c>
      <c r="S79" s="60"/>
      <c r="U79" s="14"/>
      <c r="V79" s="14"/>
    </row>
    <row r="80" spans="2:22" x14ac:dyDescent="0.25">
      <c r="B80" s="119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2</v>
      </c>
      <c r="S80" s="60"/>
      <c r="U80" s="14"/>
      <c r="V80" s="14"/>
    </row>
    <row r="81" spans="2:22" x14ac:dyDescent="0.25">
      <c r="B81" s="119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3</v>
      </c>
      <c r="S81" s="60"/>
      <c r="U81" s="14"/>
      <c r="V81" s="14"/>
    </row>
    <row r="82" spans="2:22" x14ac:dyDescent="0.25">
      <c r="B82" s="119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  <c r="U82" s="14"/>
      <c r="V82" s="14"/>
    </row>
    <row r="83" spans="2:22" x14ac:dyDescent="0.25">
      <c r="B83" s="119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 x14ac:dyDescent="0.2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x14ac:dyDescent="0.25">
      <c r="B85" s="119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/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x14ac:dyDescent="0.25">
      <c r="B86" s="119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/>
      <c r="M86" s="58"/>
      <c r="N86" s="90"/>
      <c r="O86" s="79">
        <v>0</v>
      </c>
      <c r="P86" s="59"/>
      <c r="Q86" s="90"/>
      <c r="R86" s="80">
        <v>1</v>
      </c>
      <c r="S86" s="60"/>
      <c r="U86" s="14"/>
      <c r="V86" s="14"/>
    </row>
    <row r="87" spans="2:22" x14ac:dyDescent="0.25">
      <c r="B87" s="119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2</v>
      </c>
      <c r="M87" s="58"/>
      <c r="N87" s="90"/>
      <c r="O87" s="79">
        <v>0</v>
      </c>
      <c r="P87" s="59"/>
      <c r="Q87" s="90"/>
      <c r="R87" s="80">
        <v>2</v>
      </c>
      <c r="S87" s="60"/>
      <c r="U87" s="14"/>
      <c r="V87" s="14"/>
    </row>
    <row r="88" spans="2:22" x14ac:dyDescent="0.25">
      <c r="B88" s="119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2</v>
      </c>
      <c r="S88" s="60"/>
      <c r="U88" s="14"/>
      <c r="V88" s="14"/>
    </row>
    <row r="89" spans="2:22" x14ac:dyDescent="0.25">
      <c r="B89" s="119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3</v>
      </c>
      <c r="S89" s="60" t="s">
        <v>39</v>
      </c>
      <c r="U89" s="14"/>
      <c r="V89" s="14"/>
    </row>
    <row r="90" spans="2:22" x14ac:dyDescent="0.25">
      <c r="B90" s="119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3</v>
      </c>
      <c r="M90" s="58"/>
      <c r="N90" s="90"/>
      <c r="O90" s="79">
        <v>0</v>
      </c>
      <c r="P90" s="59"/>
      <c r="Q90" s="90"/>
      <c r="R90" s="80">
        <v>0</v>
      </c>
      <c r="S90" s="60"/>
      <c r="U90" s="14"/>
      <c r="V90" s="14"/>
    </row>
    <row r="91" spans="2:22" x14ac:dyDescent="0.25">
      <c r="B91" s="119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x14ac:dyDescent="0.25">
      <c r="B92" s="119"/>
      <c r="D92" s="22">
        <v>8</v>
      </c>
      <c r="F92" s="76">
        <v>0</v>
      </c>
      <c r="G92" s="4"/>
      <c r="H92" s="90"/>
      <c r="I92" s="77">
        <v>2</v>
      </c>
      <c r="J92" s="57"/>
      <c r="K92" s="90"/>
      <c r="L92" s="78">
        <v>0</v>
      </c>
      <c r="M92" s="58"/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x14ac:dyDescent="0.25">
      <c r="B93" s="119"/>
      <c r="D93" s="22">
        <v>9</v>
      </c>
      <c r="F93" s="76">
        <v>0</v>
      </c>
      <c r="G93" s="4"/>
      <c r="H93" s="90"/>
      <c r="I93" s="77">
        <v>3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 x14ac:dyDescent="0.25">
      <c r="B94" s="119"/>
      <c r="D94" s="22">
        <v>10</v>
      </c>
      <c r="F94" s="76">
        <v>3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  <c r="U94" s="14"/>
      <c r="V94" s="14"/>
    </row>
    <row r="95" spans="2:22" x14ac:dyDescent="0.25">
      <c r="B95" s="119"/>
      <c r="D95" s="22">
        <v>11</v>
      </c>
      <c r="F95" s="76">
        <v>3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0</v>
      </c>
      <c r="S95" s="60"/>
      <c r="U95" s="14"/>
      <c r="V95" s="14"/>
    </row>
    <row r="96" spans="2:22" x14ac:dyDescent="0.25">
      <c r="B96" s="119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x14ac:dyDescent="0.25">
      <c r="B97" s="119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x14ac:dyDescent="0.25">
      <c r="B98" s="119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 x14ac:dyDescent="0.25">
      <c r="B99" s="119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  <c r="U99" s="14"/>
      <c r="V99" s="14"/>
    </row>
    <row r="100" spans="2:22" x14ac:dyDescent="0.25">
      <c r="B100" s="119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 x14ac:dyDescent="0.25">
      <c r="B101" s="119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x14ac:dyDescent="0.25">
      <c r="B102" s="119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 x14ac:dyDescent="0.25">
      <c r="B103" s="119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  <c r="U103" s="14"/>
      <c r="V103" s="14"/>
    </row>
    <row r="104" spans="2:22" x14ac:dyDescent="0.25">
      <c r="B104" s="119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x14ac:dyDescent="0.25">
      <c r="B105" s="119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x14ac:dyDescent="0.25">
      <c r="B106" s="119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  <c r="U106" s="14"/>
      <c r="V106" s="14"/>
    </row>
    <row r="107" spans="2:22" x14ac:dyDescent="0.25">
      <c r="B107" s="119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x14ac:dyDescent="0.25">
      <c r="B108" s="119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 x14ac:dyDescent="0.25">
      <c r="B109" s="119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  <c r="U109" s="14"/>
      <c r="V109" s="14"/>
    </row>
    <row r="110" spans="2:22" x14ac:dyDescent="0.25">
      <c r="B110" s="119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 x14ac:dyDescent="0.25">
      <c r="B111" s="119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x14ac:dyDescent="0.25">
      <c r="B112" s="119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 x14ac:dyDescent="0.25">
      <c r="B113" s="119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  <c r="U113" s="14"/>
      <c r="V113" s="14"/>
    </row>
    <row r="114" spans="2:22" x14ac:dyDescent="0.25">
      <c r="B114" s="119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 x14ac:dyDescent="0.25">
      <c r="B115" s="119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  <c r="U115" s="14"/>
      <c r="V115" s="14"/>
    </row>
    <row r="116" spans="2:22" s="10" customFormat="1" x14ac:dyDescent="0.2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45" customHeight="1" x14ac:dyDescent="0.25">
      <c r="B117" s="116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x14ac:dyDescent="0.25">
      <c r="B118" s="117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 x14ac:dyDescent="0.25">
      <c r="B119" s="117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x14ac:dyDescent="0.25">
      <c r="B120" s="117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  <c r="U120" s="14"/>
      <c r="V120" s="14"/>
    </row>
    <row r="121" spans="2:22" x14ac:dyDescent="0.25">
      <c r="B121" s="117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  <c r="U121" s="14"/>
      <c r="V121" s="14"/>
    </row>
    <row r="122" spans="2:22" x14ac:dyDescent="0.25">
      <c r="B122" s="117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  <c r="U122" s="14"/>
      <c r="V122" s="14"/>
    </row>
    <row r="123" spans="2:22" x14ac:dyDescent="0.25">
      <c r="B123" s="117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 x14ac:dyDescent="0.25">
      <c r="B124" s="117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 x14ac:dyDescent="0.25">
      <c r="B125" s="117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x14ac:dyDescent="0.25">
      <c r="B126" s="117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 x14ac:dyDescent="0.25">
      <c r="B127" s="117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 x14ac:dyDescent="0.25">
      <c r="B128" s="117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  <c r="U128" s="14"/>
      <c r="V128" s="14"/>
    </row>
    <row r="129" spans="2:22" x14ac:dyDescent="0.25">
      <c r="B129" s="117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 x14ac:dyDescent="0.25">
      <c r="B130" s="117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  <c r="U130" s="14"/>
      <c r="V130" s="14"/>
    </row>
    <row r="131" spans="2:22" x14ac:dyDescent="0.25">
      <c r="B131" s="117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 x14ac:dyDescent="0.25">
      <c r="B132" s="117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  <c r="U132" s="14"/>
      <c r="V132" s="14"/>
    </row>
    <row r="133" spans="2:22" x14ac:dyDescent="0.25">
      <c r="B133" s="117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  <c r="U133" s="14"/>
      <c r="V133" s="14"/>
    </row>
    <row r="134" spans="2:22" x14ac:dyDescent="0.25">
      <c r="B134" s="117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 x14ac:dyDescent="0.25">
      <c r="B135" s="117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  <c r="U135" s="14"/>
      <c r="V135" s="14"/>
    </row>
    <row r="136" spans="2:22" x14ac:dyDescent="0.25">
      <c r="B136" s="117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 x14ac:dyDescent="0.25">
      <c r="B137" s="117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  <c r="U137" s="14"/>
      <c r="V137" s="14"/>
    </row>
    <row r="138" spans="2:22" x14ac:dyDescent="0.25">
      <c r="B138" s="118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  <row r="139" spans="2:22" x14ac:dyDescent="0.25">
      <c r="U139" s="14"/>
      <c r="V139" s="14"/>
    </row>
    <row r="140" spans="2:22" x14ac:dyDescent="0.25">
      <c r="U140" s="14"/>
      <c r="V140" s="14"/>
    </row>
    <row r="141" spans="2:22" x14ac:dyDescent="0.25">
      <c r="U141" s="14"/>
      <c r="V141" s="14"/>
    </row>
    <row r="142" spans="2:22" x14ac:dyDescent="0.25">
      <c r="U142" s="14"/>
      <c r="V142" s="14"/>
    </row>
    <row r="143" spans="2:22" x14ac:dyDescent="0.25">
      <c r="U143" s="14"/>
      <c r="V143" s="14"/>
    </row>
    <row r="144" spans="2:22" x14ac:dyDescent="0.25">
      <c r="U144" s="14"/>
      <c r="V144" s="14"/>
    </row>
    <row r="145" spans="21:22" x14ac:dyDescent="0.25">
      <c r="U145" s="14"/>
      <c r="V145" s="14"/>
    </row>
    <row r="146" spans="21:22" x14ac:dyDescent="0.25">
      <c r="U146" s="14"/>
      <c r="V146" s="14"/>
    </row>
    <row r="147" spans="21:22" x14ac:dyDescent="0.25">
      <c r="U147" s="14"/>
      <c r="V147" s="14"/>
    </row>
    <row r="148" spans="21:22" x14ac:dyDescent="0.25">
      <c r="U148" s="14"/>
      <c r="V148" s="14"/>
    </row>
    <row r="149" spans="21:22" x14ac:dyDescent="0.25">
      <c r="U149" s="14"/>
      <c r="V149" s="14"/>
    </row>
    <row r="150" spans="21:22" x14ac:dyDescent="0.25">
      <c r="U150" s="14"/>
      <c r="V150" s="14"/>
    </row>
    <row r="151" spans="21:22" x14ac:dyDescent="0.25">
      <c r="U151" s="14"/>
      <c r="V151" s="14"/>
    </row>
    <row r="152" spans="21:22" x14ac:dyDescent="0.25">
      <c r="U152" s="14"/>
      <c r="V152" s="14"/>
    </row>
    <row r="153" spans="21:22" x14ac:dyDescent="0.25">
      <c r="U153" s="14"/>
      <c r="V153" s="14"/>
    </row>
    <row r="154" spans="21:22" x14ac:dyDescent="0.25">
      <c r="U154" s="14"/>
      <c r="V154" s="14"/>
    </row>
    <row r="155" spans="21:22" x14ac:dyDescent="0.25">
      <c r="U155" s="14"/>
      <c r="V155" s="14"/>
    </row>
    <row r="156" spans="21:22" x14ac:dyDescent="0.25">
      <c r="U156" s="14"/>
      <c r="V156" s="14"/>
    </row>
    <row r="157" spans="21:22" x14ac:dyDescent="0.25">
      <c r="U157" s="14"/>
      <c r="V157" s="14"/>
    </row>
    <row r="158" spans="21:22" x14ac:dyDescent="0.25">
      <c r="U158" s="14"/>
      <c r="V158" s="14"/>
    </row>
    <row r="159" spans="21:22" x14ac:dyDescent="0.25">
      <c r="U159" s="14"/>
      <c r="V159" s="14"/>
    </row>
    <row r="160" spans="21:22" x14ac:dyDescent="0.25">
      <c r="U160" s="14"/>
      <c r="V160" s="14"/>
    </row>
    <row r="161" spans="21:22" x14ac:dyDescent="0.25">
      <c r="U161" s="14"/>
      <c r="V161" s="14"/>
    </row>
    <row r="162" spans="21:22" x14ac:dyDescent="0.25">
      <c r="U162" s="14"/>
      <c r="V162" s="14"/>
    </row>
    <row r="163" spans="21:22" x14ac:dyDescent="0.25">
      <c r="U163" s="14"/>
      <c r="V163" s="14"/>
    </row>
    <row r="164" spans="21:22" x14ac:dyDescent="0.25">
      <c r="U164" s="14"/>
      <c r="V164" s="14"/>
    </row>
    <row r="165" spans="21:22" x14ac:dyDescent="0.25">
      <c r="U165" s="14"/>
      <c r="V165" s="14"/>
    </row>
    <row r="166" spans="21:22" x14ac:dyDescent="0.25">
      <c r="U166" s="14"/>
      <c r="V166" s="14"/>
    </row>
    <row r="167" spans="21:22" x14ac:dyDescent="0.25">
      <c r="U167" s="14"/>
      <c r="V167" s="14"/>
    </row>
    <row r="168" spans="21:22" x14ac:dyDescent="0.25">
      <c r="U168" s="14"/>
      <c r="V168" s="14"/>
    </row>
    <row r="169" spans="21:22" x14ac:dyDescent="0.25">
      <c r="U169" s="14"/>
      <c r="V169" s="14"/>
    </row>
    <row r="170" spans="21:22" x14ac:dyDescent="0.25">
      <c r="U170" s="14"/>
      <c r="V170" s="14"/>
    </row>
    <row r="171" spans="21:22" x14ac:dyDescent="0.25">
      <c r="U171" s="14"/>
      <c r="V171" s="14"/>
    </row>
    <row r="172" spans="21:22" x14ac:dyDescent="0.25">
      <c r="U172" s="14"/>
      <c r="V172" s="14"/>
    </row>
    <row r="173" spans="21:22" x14ac:dyDescent="0.25">
      <c r="U173" s="14"/>
      <c r="V173" s="14"/>
    </row>
    <row r="174" spans="21:22" x14ac:dyDescent="0.25">
      <c r="U174" s="14"/>
      <c r="V174" s="14"/>
    </row>
    <row r="175" spans="21:22" x14ac:dyDescent="0.25">
      <c r="U175" s="14"/>
      <c r="V175" s="14"/>
    </row>
    <row r="176" spans="21:22" x14ac:dyDescent="0.25">
      <c r="U176" s="14"/>
      <c r="V176" s="14"/>
    </row>
    <row r="177" spans="21:22" x14ac:dyDescent="0.25">
      <c r="U177" s="14"/>
      <c r="V177" s="14"/>
    </row>
    <row r="178" spans="21:22" x14ac:dyDescent="0.25">
      <c r="U178" s="14"/>
      <c r="V178" s="14"/>
    </row>
    <row r="179" spans="21:22" x14ac:dyDescent="0.25">
      <c r="U179" s="14"/>
      <c r="V179" s="14"/>
    </row>
    <row r="180" spans="21:22" x14ac:dyDescent="0.25">
      <c r="U180" s="14"/>
      <c r="V180" s="14"/>
    </row>
    <row r="181" spans="21:22" x14ac:dyDescent="0.25">
      <c r="U181" s="14"/>
      <c r="V181" s="14"/>
    </row>
    <row r="182" spans="21:22" x14ac:dyDescent="0.25">
      <c r="U182" s="14"/>
      <c r="V182" s="14"/>
    </row>
    <row r="183" spans="21:22" x14ac:dyDescent="0.25">
      <c r="U183" s="14"/>
      <c r="V183" s="14"/>
    </row>
    <row r="184" spans="21:22" x14ac:dyDescent="0.25">
      <c r="U184" s="14"/>
      <c r="V184" s="14"/>
    </row>
    <row r="185" spans="21:22" x14ac:dyDescent="0.25">
      <c r="U185" s="14"/>
      <c r="V185" s="14"/>
    </row>
    <row r="186" spans="21:22" x14ac:dyDescent="0.25">
      <c r="U186" s="14"/>
      <c r="V186" s="14"/>
    </row>
    <row r="187" spans="21:22" x14ac:dyDescent="0.25">
      <c r="U187" s="14"/>
      <c r="V187" s="14"/>
    </row>
    <row r="188" spans="21:22" x14ac:dyDescent="0.25">
      <c r="U188" s="14"/>
      <c r="V188" s="14"/>
    </row>
    <row r="189" spans="21:22" x14ac:dyDescent="0.25">
      <c r="U189" s="14"/>
      <c r="V189" s="14"/>
    </row>
    <row r="190" spans="21:22" x14ac:dyDescent="0.25">
      <c r="U190" s="14"/>
      <c r="V190" s="14"/>
    </row>
  </sheetData>
  <mergeCells count="11">
    <mergeCell ref="L2:M3"/>
    <mergeCell ref="O2:P3"/>
    <mergeCell ref="R2:S3"/>
    <mergeCell ref="B5:B20"/>
    <mergeCell ref="B117:B138"/>
    <mergeCell ref="B2:D3"/>
    <mergeCell ref="B54:B83"/>
    <mergeCell ref="B85:B115"/>
    <mergeCell ref="B22:B52"/>
    <mergeCell ref="F2:G3"/>
    <mergeCell ref="I2:J3"/>
  </mergeCells>
  <phoneticPr fontId="6" type="noConversion"/>
  <conditionalFormatting sqref="F5:F20 F22:F52 F54:F83 F85:F115 F117:F138">
    <cfRule type="cellIs" dxfId="27" priority="27" operator="equal">
      <formula>0</formula>
    </cfRule>
  </conditionalFormatting>
  <conditionalFormatting sqref="F5:F138">
    <cfRule type="cellIs" dxfId="26" priority="32" operator="greaterThan">
      <formula>0</formula>
    </cfRule>
  </conditionalFormatting>
  <conditionalFormatting sqref="I5:I20 I22:I52 I54:I83 I85:I115 I117:I138">
    <cfRule type="cellIs" dxfId="25" priority="26" operator="equal">
      <formula>0</formula>
    </cfRule>
  </conditionalFormatting>
  <conditionalFormatting sqref="I5:I138">
    <cfRule type="cellIs" dxfId="24" priority="31" operator="greaterThan">
      <formula>0</formula>
    </cfRule>
  </conditionalFormatting>
  <conditionalFormatting sqref="L5:L20 L22:L52 L54:L83 L85:L115 L117:L138">
    <cfRule type="cellIs" dxfId="23" priority="25" operator="equal">
      <formula>0</formula>
    </cfRule>
  </conditionalFormatting>
  <conditionalFormatting sqref="L5:L138">
    <cfRule type="cellIs" dxfId="22" priority="30" operator="greaterThan">
      <formula>0</formula>
    </cfRule>
  </conditionalFormatting>
  <conditionalFormatting sqref="O5:O20 O22:O52 O54:O83 O85:O115 O117:O138">
    <cfRule type="cellIs" dxfId="21" priority="24" operator="equal">
      <formula>0</formula>
    </cfRule>
  </conditionalFormatting>
  <conditionalFormatting sqref="O5:O138">
    <cfRule type="cellIs" dxfId="20" priority="29" operator="greaterThan">
      <formula>0</formula>
    </cfRule>
  </conditionalFormatting>
  <conditionalFormatting sqref="R5:R20">
    <cfRule type="cellIs" dxfId="19" priority="17" operator="equal">
      <formula>0</formula>
    </cfRule>
  </conditionalFormatting>
  <conditionalFormatting sqref="R5:R138">
    <cfRule type="cellIs" dxfId="18" priority="2" operator="greaterThan">
      <formula>0</formula>
    </cfRule>
  </conditionalFormatting>
  <conditionalFormatting sqref="R22:R52">
    <cfRule type="cellIs" dxfId="17" priority="13" operator="equal">
      <formula>0</formula>
    </cfRule>
  </conditionalFormatting>
  <conditionalFormatting sqref="R54:R83">
    <cfRule type="cellIs" dxfId="16" priority="1" operator="equal">
      <formula>0</formula>
    </cfRule>
  </conditionalFormatting>
  <conditionalFormatting sqref="R85:R115">
    <cfRule type="cellIs" dxfId="15" priority="3" operator="equal">
      <formula>0</formula>
    </cfRule>
  </conditionalFormatting>
  <conditionalFormatting sqref="R117:R138">
    <cfRule type="cellIs" dxfId="14" priority="23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V138"/>
  <sheetViews>
    <sheetView tabSelected="1" zoomScale="70" zoomScaleNormal="70" workbookViewId="0">
      <pane xSplit="5" ySplit="4" topLeftCell="F93" activePane="bottomRight" state="frozen"/>
      <selection pane="topRight" activeCell="F1" sqref="F1"/>
      <selection pane="bottomLeft" activeCell="A5" sqref="A5"/>
      <selection pane="bottomRight" activeCell="M110" sqref="M110"/>
    </sheetView>
  </sheetViews>
  <sheetFormatPr defaultColWidth="10.85546875" defaultRowHeight="15" x14ac:dyDescent="0.25"/>
  <cols>
    <col min="1" max="1" width="2.5703125" style="1" customWidth="1"/>
    <col min="2" max="2" width="6.140625" style="1" customWidth="1"/>
    <col min="3" max="3" width="2.5703125" style="1" customWidth="1"/>
    <col min="4" max="4" width="5.140625" style="2" customWidth="1"/>
    <col min="5" max="5" width="2.5703125" style="1" customWidth="1"/>
    <col min="6" max="6" width="5.140625" style="2" customWidth="1"/>
    <col min="7" max="7" width="35.5703125" style="6" customWidth="1"/>
    <col min="8" max="8" width="2.5703125" style="1" customWidth="1"/>
    <col min="9" max="9" width="5.140625" style="2" customWidth="1"/>
    <col min="10" max="10" width="35.5703125" style="7" customWidth="1"/>
    <col min="11" max="11" width="2.5703125" style="1" customWidth="1"/>
    <col min="12" max="12" width="5.140625" style="2" customWidth="1"/>
    <col min="13" max="13" width="35.5703125" style="8" customWidth="1"/>
    <col min="14" max="14" width="2.5703125" style="1" customWidth="1"/>
    <col min="15" max="15" width="5.140625" style="2" customWidth="1"/>
    <col min="16" max="16" width="35.5703125" style="9" customWidth="1"/>
    <col min="17" max="17" width="2.5703125" style="1" customWidth="1"/>
    <col min="18" max="18" width="5.140625" style="2" customWidth="1"/>
    <col min="19" max="19" width="35.5703125" style="13" customWidth="1"/>
    <col min="20" max="16384" width="10.85546875" style="1"/>
  </cols>
  <sheetData>
    <row r="1" spans="2:22" ht="15" customHeight="1" x14ac:dyDescent="0.25"/>
    <row r="2" spans="2:22" ht="14.45" customHeight="1" x14ac:dyDescent="0.25">
      <c r="B2" s="106" t="s">
        <v>53</v>
      </c>
      <c r="C2" s="107"/>
      <c r="D2" s="108"/>
      <c r="F2" s="112" t="s">
        <v>15</v>
      </c>
      <c r="G2" s="112"/>
      <c r="H2" s="3"/>
      <c r="I2" s="113" t="s">
        <v>16</v>
      </c>
      <c r="J2" s="113"/>
      <c r="L2" s="114" t="s">
        <v>17</v>
      </c>
      <c r="M2" s="114"/>
      <c r="O2" s="115" t="s">
        <v>18</v>
      </c>
      <c r="P2" s="115"/>
      <c r="R2" s="105" t="s">
        <v>19</v>
      </c>
      <c r="S2" s="105"/>
    </row>
    <row r="3" spans="2:22" ht="14.45" customHeight="1" x14ac:dyDescent="0.25">
      <c r="B3" s="109"/>
      <c r="C3" s="110"/>
      <c r="D3" s="111"/>
      <c r="F3" s="112"/>
      <c r="G3" s="112"/>
      <c r="H3" s="3"/>
      <c r="I3" s="113"/>
      <c r="J3" s="113"/>
      <c r="L3" s="114"/>
      <c r="M3" s="114"/>
      <c r="O3" s="115"/>
      <c r="P3" s="115"/>
      <c r="R3" s="105"/>
      <c r="S3" s="105"/>
    </row>
    <row r="4" spans="2:22" ht="14.45" customHeight="1" x14ac:dyDescent="0.25"/>
    <row r="5" spans="2:22" ht="14.45" customHeight="1" x14ac:dyDescent="0.25">
      <c r="B5" s="116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45" customHeight="1" x14ac:dyDescent="0.25">
      <c r="B6" s="117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45" customHeight="1" x14ac:dyDescent="0.25">
      <c r="B7" s="117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45" customHeight="1" x14ac:dyDescent="0.25">
      <c r="B8" s="117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45" customHeight="1" x14ac:dyDescent="0.25">
      <c r="B9" s="117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45" customHeight="1" x14ac:dyDescent="0.25">
      <c r="B10" s="117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45" customHeight="1" x14ac:dyDescent="0.25">
      <c r="B11" s="117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45" customHeight="1" x14ac:dyDescent="0.25">
      <c r="B12" s="117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45" customHeight="1" x14ac:dyDescent="0.25">
      <c r="B13" s="117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45" customHeight="1" x14ac:dyDescent="0.25">
      <c r="B14" s="117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45" customHeight="1" x14ac:dyDescent="0.25">
      <c r="B15" s="117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45" customHeight="1" x14ac:dyDescent="0.25">
      <c r="B16" s="117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45" customHeight="1" x14ac:dyDescent="0.25">
      <c r="B17" s="117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45" customHeight="1" x14ac:dyDescent="0.25">
      <c r="B18" s="117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45" customHeight="1" x14ac:dyDescent="0.25">
      <c r="B19" s="117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45" customHeight="1" x14ac:dyDescent="0.25">
      <c r="B20" s="118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45" customHeight="1" x14ac:dyDescent="0.2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45" customHeight="1" x14ac:dyDescent="0.25">
      <c r="B22" s="119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45" customHeight="1" x14ac:dyDescent="0.25">
      <c r="B23" s="119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45" customHeight="1" x14ac:dyDescent="0.25">
      <c r="B24" s="119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45" customHeight="1" x14ac:dyDescent="0.25">
      <c r="B25" s="119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45" customHeight="1" x14ac:dyDescent="0.25">
      <c r="B26" s="119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45" customHeight="1" x14ac:dyDescent="0.25">
      <c r="B27" s="119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45" customHeight="1" x14ac:dyDescent="0.25">
      <c r="B28" s="119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45" customHeight="1" x14ac:dyDescent="0.25">
      <c r="B29" s="119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45" customHeight="1" x14ac:dyDescent="0.25">
      <c r="B30" s="119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45" customHeight="1" x14ac:dyDescent="0.25">
      <c r="B31" s="119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45" customHeight="1" x14ac:dyDescent="0.25">
      <c r="B32" s="119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45" customHeight="1" x14ac:dyDescent="0.25">
      <c r="B33" s="119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45" customHeight="1" x14ac:dyDescent="0.25">
      <c r="B34" s="119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  <c r="U34" s="14"/>
      <c r="V34" s="14"/>
    </row>
    <row r="35" spans="2:22" ht="14.45" customHeight="1" x14ac:dyDescent="0.25">
      <c r="B35" s="119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45" customHeight="1" x14ac:dyDescent="0.25">
      <c r="B36" s="119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45" customHeight="1" x14ac:dyDescent="0.25">
      <c r="B37" s="119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45" customHeight="1" x14ac:dyDescent="0.25">
      <c r="B38" s="119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45" customHeight="1" x14ac:dyDescent="0.25">
      <c r="B39" s="119"/>
      <c r="D39" s="22">
        <v>18</v>
      </c>
      <c r="F39" s="76">
        <v>2</v>
      </c>
      <c r="G39" s="4" t="s">
        <v>54</v>
      </c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45" customHeight="1" x14ac:dyDescent="0.25">
      <c r="B40" s="119"/>
      <c r="D40" s="22">
        <v>19</v>
      </c>
      <c r="F40" s="76">
        <v>1.5</v>
      </c>
      <c r="G40" s="4" t="s">
        <v>55</v>
      </c>
      <c r="H40" s="90"/>
      <c r="I40" s="77">
        <v>1.5</v>
      </c>
      <c r="J40" s="57" t="s">
        <v>55</v>
      </c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45" customHeight="1" x14ac:dyDescent="0.25">
      <c r="B41" s="119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  <c r="U41" s="14"/>
      <c r="V41" s="14"/>
    </row>
    <row r="42" spans="2:22" ht="14.45" customHeight="1" x14ac:dyDescent="0.25">
      <c r="B42" s="119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45" customHeight="1" x14ac:dyDescent="0.25">
      <c r="B43" s="119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45" customHeight="1" x14ac:dyDescent="0.25">
      <c r="B44" s="119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45" customHeight="1" x14ac:dyDescent="0.25">
      <c r="B45" s="119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2</v>
      </c>
      <c r="M45" s="58" t="s">
        <v>32</v>
      </c>
      <c r="N45" s="90"/>
      <c r="O45" s="79">
        <v>2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45" customHeight="1" x14ac:dyDescent="0.25">
      <c r="B46" s="119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45" customHeight="1" x14ac:dyDescent="0.25">
      <c r="B47" s="119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45" customHeight="1" x14ac:dyDescent="0.25">
      <c r="B48" s="119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45" customHeight="1" x14ac:dyDescent="0.25">
      <c r="B49" s="119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45" customHeight="1" x14ac:dyDescent="0.25">
      <c r="B50" s="119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45" customHeight="1" x14ac:dyDescent="0.25">
      <c r="B51" s="119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45" customHeight="1" x14ac:dyDescent="0.25">
      <c r="B52" s="119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45" customHeight="1" x14ac:dyDescent="0.2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45" customHeight="1" x14ac:dyDescent="0.25">
      <c r="B54" s="119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45" customHeight="1" x14ac:dyDescent="0.25">
      <c r="B55" s="119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45" customHeight="1" x14ac:dyDescent="0.25">
      <c r="B56" s="119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45" customHeight="1" x14ac:dyDescent="0.25">
      <c r="B57" s="119"/>
      <c r="D57" s="22">
        <v>4</v>
      </c>
      <c r="F57" s="76">
        <v>2</v>
      </c>
      <c r="G57" s="4" t="s">
        <v>56</v>
      </c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45" customHeight="1" x14ac:dyDescent="0.25">
      <c r="B58" s="119"/>
      <c r="D58" s="22">
        <v>5</v>
      </c>
      <c r="F58" s="76">
        <v>2</v>
      </c>
      <c r="G58" s="4" t="s">
        <v>56</v>
      </c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45" customHeight="1" x14ac:dyDescent="0.25">
      <c r="B59" s="119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45" customHeight="1" x14ac:dyDescent="0.25">
      <c r="B60" s="119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45" customHeight="1" x14ac:dyDescent="0.25">
      <c r="B61" s="119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45" customHeight="1" x14ac:dyDescent="0.25">
      <c r="B62" s="119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x14ac:dyDescent="0.25">
      <c r="B63" s="119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x14ac:dyDescent="0.25">
      <c r="B64" s="119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x14ac:dyDescent="0.25">
      <c r="B65" s="119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x14ac:dyDescent="0.25">
      <c r="B66" s="119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 x14ac:dyDescent="0.25">
      <c r="B67" s="119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x14ac:dyDescent="0.25">
      <c r="B68" s="119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x14ac:dyDescent="0.25">
      <c r="B69" s="119"/>
      <c r="D69" s="22">
        <v>16</v>
      </c>
      <c r="F69" s="76">
        <v>0</v>
      </c>
      <c r="G69" s="4"/>
      <c r="H69" s="90"/>
      <c r="I69" s="77">
        <v>0</v>
      </c>
      <c r="J69" s="57"/>
      <c r="K69" s="90"/>
      <c r="L69" s="78">
        <v>1</v>
      </c>
      <c r="M69" s="58" t="s">
        <v>57</v>
      </c>
      <c r="N69" s="90"/>
      <c r="O69" s="79">
        <v>1.5</v>
      </c>
      <c r="P69" s="59" t="s">
        <v>58</v>
      </c>
      <c r="Q69" s="90"/>
      <c r="R69" s="80">
        <v>0</v>
      </c>
      <c r="S69" s="60"/>
      <c r="U69" s="14"/>
      <c r="V69" s="14"/>
    </row>
    <row r="70" spans="2:22" x14ac:dyDescent="0.25">
      <c r="B70" s="119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 x14ac:dyDescent="0.25">
      <c r="B71" s="119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 x14ac:dyDescent="0.25">
      <c r="B72" s="119"/>
      <c r="D72" s="22">
        <v>19</v>
      </c>
      <c r="F72" s="76">
        <v>1.5</v>
      </c>
      <c r="G72" s="4" t="s">
        <v>59</v>
      </c>
      <c r="H72" s="90"/>
      <c r="I72" s="77">
        <v>0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  <c r="U72" s="14"/>
      <c r="V72" s="14"/>
    </row>
    <row r="73" spans="2:22" x14ac:dyDescent="0.25">
      <c r="B73" s="119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  <c r="U73" s="14"/>
      <c r="V73" s="14"/>
    </row>
    <row r="74" spans="2:22" x14ac:dyDescent="0.25">
      <c r="B74" s="119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9</v>
      </c>
      <c r="P74" s="59" t="s">
        <v>37</v>
      </c>
      <c r="Q74" s="90"/>
      <c r="R74" s="80">
        <v>0</v>
      </c>
      <c r="S74" s="60"/>
      <c r="U74" s="14"/>
      <c r="V74" s="14"/>
    </row>
    <row r="75" spans="2:22" x14ac:dyDescent="0.25">
      <c r="B75" s="119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 x14ac:dyDescent="0.25">
      <c r="B76" s="119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x14ac:dyDescent="0.25">
      <c r="B77" s="119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2</v>
      </c>
      <c r="S77" s="60" t="s">
        <v>60</v>
      </c>
      <c r="U77" s="14"/>
      <c r="V77" s="14"/>
    </row>
    <row r="78" spans="2:22" x14ac:dyDescent="0.25">
      <c r="B78" s="119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 x14ac:dyDescent="0.25">
      <c r="B79" s="119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  <c r="U79" s="14"/>
      <c r="V79" s="14"/>
    </row>
    <row r="80" spans="2:22" x14ac:dyDescent="0.25">
      <c r="B80" s="119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0</v>
      </c>
      <c r="S80" s="60"/>
      <c r="U80" s="14"/>
      <c r="V80" s="14"/>
    </row>
    <row r="81" spans="2:22" x14ac:dyDescent="0.25">
      <c r="B81" s="119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0</v>
      </c>
      <c r="S81" s="60"/>
      <c r="U81" s="14"/>
      <c r="V81" s="14"/>
    </row>
    <row r="82" spans="2:22" x14ac:dyDescent="0.25">
      <c r="B82" s="119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2</v>
      </c>
      <c r="S82" s="60" t="s">
        <v>60</v>
      </c>
      <c r="U82" s="14"/>
      <c r="V82" s="14"/>
    </row>
    <row r="83" spans="2:22" x14ac:dyDescent="0.25">
      <c r="B83" s="119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 x14ac:dyDescent="0.2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x14ac:dyDescent="0.25">
      <c r="B85" s="119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x14ac:dyDescent="0.25">
      <c r="B86" s="119"/>
      <c r="D86" s="22">
        <v>2</v>
      </c>
      <c r="F86" s="76">
        <v>1</v>
      </c>
      <c r="G86" s="4" t="s">
        <v>61</v>
      </c>
      <c r="H86" s="90"/>
      <c r="I86" s="77">
        <v>2</v>
      </c>
      <c r="J86" s="57" t="s">
        <v>62</v>
      </c>
      <c r="K86" s="90"/>
      <c r="L86" s="78">
        <v>0</v>
      </c>
      <c r="M86" s="58"/>
      <c r="N86" s="90"/>
      <c r="O86" s="79">
        <v>0</v>
      </c>
      <c r="P86" s="59"/>
      <c r="Q86" s="90"/>
      <c r="R86" s="80">
        <v>0</v>
      </c>
      <c r="S86" s="60"/>
      <c r="U86" s="14"/>
      <c r="V86" s="14"/>
    </row>
    <row r="87" spans="2:22" x14ac:dyDescent="0.25">
      <c r="B87" s="119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0</v>
      </c>
      <c r="P87" s="59"/>
      <c r="Q87" s="90"/>
      <c r="R87" s="80">
        <v>0</v>
      </c>
      <c r="S87" s="60"/>
      <c r="U87" s="14"/>
      <c r="V87" s="14"/>
    </row>
    <row r="88" spans="2:22" x14ac:dyDescent="0.25">
      <c r="B88" s="119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  <c r="U88" s="14"/>
      <c r="V88" s="14"/>
    </row>
    <row r="89" spans="2:22" x14ac:dyDescent="0.25">
      <c r="B89" s="119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5</v>
      </c>
      <c r="S89" s="60" t="s">
        <v>39</v>
      </c>
      <c r="U89" s="14"/>
      <c r="V89" s="14"/>
    </row>
    <row r="90" spans="2:22" x14ac:dyDescent="0.25">
      <c r="B90" s="119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0</v>
      </c>
      <c r="M90" s="58"/>
      <c r="N90" s="90"/>
      <c r="O90" s="79">
        <v>0</v>
      </c>
      <c r="P90" s="59"/>
      <c r="Q90" s="90"/>
      <c r="R90" s="80">
        <v>0</v>
      </c>
      <c r="S90" s="60"/>
      <c r="U90" s="14"/>
      <c r="V90" s="14"/>
    </row>
    <row r="91" spans="2:22" x14ac:dyDescent="0.25">
      <c r="B91" s="119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x14ac:dyDescent="0.25">
      <c r="B92" s="119"/>
      <c r="D92" s="22">
        <v>8</v>
      </c>
      <c r="F92" s="76" t="s">
        <v>96</v>
      </c>
      <c r="G92" s="4" t="s">
        <v>97</v>
      </c>
      <c r="H92" s="90"/>
      <c r="I92" s="77" t="s">
        <v>96</v>
      </c>
      <c r="J92" s="57" t="s">
        <v>98</v>
      </c>
      <c r="K92" s="90"/>
      <c r="L92" s="78" t="s">
        <v>96</v>
      </c>
      <c r="M92" s="58" t="s">
        <v>99</v>
      </c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x14ac:dyDescent="0.25">
      <c r="B93" s="119"/>
      <c r="D93" s="22">
        <v>9</v>
      </c>
      <c r="F93" s="76">
        <v>0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 x14ac:dyDescent="0.25">
      <c r="B94" s="119"/>
      <c r="D94" s="22">
        <v>10</v>
      </c>
      <c r="F94" s="76">
        <v>0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  <c r="U94" s="14"/>
      <c r="V94" s="14"/>
    </row>
    <row r="95" spans="2:22" x14ac:dyDescent="0.25">
      <c r="B95" s="119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1</v>
      </c>
      <c r="S95" s="60" t="s">
        <v>100</v>
      </c>
      <c r="U95" s="14"/>
      <c r="V95" s="14"/>
    </row>
    <row r="96" spans="2:22" x14ac:dyDescent="0.25">
      <c r="B96" s="119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x14ac:dyDescent="0.25">
      <c r="B97" s="119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x14ac:dyDescent="0.25">
      <c r="B98" s="119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 x14ac:dyDescent="0.25">
      <c r="B99" s="119"/>
      <c r="D99" s="22">
        <v>15</v>
      </c>
      <c r="F99" s="76">
        <v>3</v>
      </c>
      <c r="G99" s="4" t="s">
        <v>101</v>
      </c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  <c r="U99" s="14"/>
      <c r="V99" s="14"/>
    </row>
    <row r="100" spans="2:22" x14ac:dyDescent="0.25">
      <c r="B100" s="119"/>
      <c r="D100" s="22">
        <v>16</v>
      </c>
      <c r="F100" s="76">
        <v>0</v>
      </c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 x14ac:dyDescent="0.25">
      <c r="B101" s="119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x14ac:dyDescent="0.25">
      <c r="B102" s="119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 x14ac:dyDescent="0.25">
      <c r="B103" s="119"/>
      <c r="D103" s="22">
        <v>19</v>
      </c>
      <c r="F103" s="76">
        <v>2</v>
      </c>
      <c r="G103" s="4" t="s">
        <v>102</v>
      </c>
      <c r="H103" s="90"/>
      <c r="I103" s="77">
        <v>0</v>
      </c>
      <c r="J103" s="57"/>
      <c r="K103" s="90"/>
      <c r="L103" s="78">
        <v>3</v>
      </c>
      <c r="M103" s="58" t="s">
        <v>103</v>
      </c>
      <c r="N103" s="90"/>
      <c r="O103" s="79">
        <v>0</v>
      </c>
      <c r="P103" s="59"/>
      <c r="Q103" s="90"/>
      <c r="R103" s="80">
        <v>1</v>
      </c>
      <c r="S103" s="60" t="s">
        <v>104</v>
      </c>
      <c r="U103" s="14"/>
      <c r="V103" s="14"/>
    </row>
    <row r="104" spans="2:22" x14ac:dyDescent="0.25">
      <c r="B104" s="119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x14ac:dyDescent="0.25">
      <c r="B105" s="119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x14ac:dyDescent="0.25">
      <c r="B106" s="119"/>
      <c r="D106" s="22">
        <v>22</v>
      </c>
      <c r="F106" s="76">
        <v>2</v>
      </c>
      <c r="G106" s="4" t="s">
        <v>105</v>
      </c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  <c r="U106" s="14"/>
      <c r="V106" s="14"/>
    </row>
    <row r="107" spans="2:22" x14ac:dyDescent="0.25">
      <c r="B107" s="119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x14ac:dyDescent="0.25">
      <c r="B108" s="119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 x14ac:dyDescent="0.25">
      <c r="B109" s="119"/>
      <c r="D109" s="22">
        <v>25</v>
      </c>
      <c r="F109" s="76">
        <v>2</v>
      </c>
      <c r="G109" s="4" t="s">
        <v>106</v>
      </c>
      <c r="H109" s="90"/>
      <c r="I109" s="77">
        <v>0</v>
      </c>
      <c r="J109" s="57"/>
      <c r="K109" s="90"/>
      <c r="L109" s="78">
        <v>2</v>
      </c>
      <c r="M109" s="58" t="s">
        <v>109</v>
      </c>
      <c r="N109" s="90"/>
      <c r="O109" s="79">
        <v>2</v>
      </c>
      <c r="P109" s="59" t="s">
        <v>107</v>
      </c>
      <c r="Q109" s="90"/>
      <c r="R109" s="80">
        <v>0</v>
      </c>
      <c r="S109" s="60"/>
      <c r="U109" s="14"/>
      <c r="V109" s="14"/>
    </row>
    <row r="110" spans="2:22" x14ac:dyDescent="0.25">
      <c r="B110" s="119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 x14ac:dyDescent="0.25">
      <c r="B111" s="119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x14ac:dyDescent="0.25">
      <c r="B112" s="119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4</v>
      </c>
      <c r="P112" s="59" t="s">
        <v>108</v>
      </c>
      <c r="Q112" s="90"/>
      <c r="R112" s="80">
        <v>0</v>
      </c>
      <c r="S112" s="60"/>
      <c r="U112" s="14"/>
      <c r="V112" s="14"/>
    </row>
    <row r="113" spans="2:22" x14ac:dyDescent="0.25">
      <c r="B113" s="119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  <c r="U113" s="14"/>
      <c r="V113" s="14"/>
    </row>
    <row r="114" spans="2:22" x14ac:dyDescent="0.25">
      <c r="B114" s="119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 x14ac:dyDescent="0.25">
      <c r="B115" s="119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  <c r="U115" s="14"/>
      <c r="V115" s="14"/>
    </row>
    <row r="116" spans="2:22" s="10" customFormat="1" x14ac:dyDescent="0.2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45" customHeight="1" x14ac:dyDescent="0.25">
      <c r="B117" s="116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x14ac:dyDescent="0.25">
      <c r="B118" s="117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 x14ac:dyDescent="0.25">
      <c r="B119" s="117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x14ac:dyDescent="0.25">
      <c r="B120" s="117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  <c r="U120" s="14"/>
      <c r="V120" s="14"/>
    </row>
    <row r="121" spans="2:22" x14ac:dyDescent="0.25">
      <c r="B121" s="117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  <c r="U121" s="14"/>
      <c r="V121" s="14"/>
    </row>
    <row r="122" spans="2:22" x14ac:dyDescent="0.25">
      <c r="B122" s="117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  <c r="U122" s="14"/>
      <c r="V122" s="14"/>
    </row>
    <row r="123" spans="2:22" x14ac:dyDescent="0.25">
      <c r="B123" s="117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 x14ac:dyDescent="0.25">
      <c r="B124" s="117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 x14ac:dyDescent="0.25">
      <c r="B125" s="117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x14ac:dyDescent="0.25">
      <c r="B126" s="117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 x14ac:dyDescent="0.25">
      <c r="B127" s="117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 x14ac:dyDescent="0.25">
      <c r="B128" s="117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  <c r="U128" s="14"/>
      <c r="V128" s="14"/>
    </row>
    <row r="129" spans="2:22" x14ac:dyDescent="0.25">
      <c r="B129" s="117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 x14ac:dyDescent="0.25">
      <c r="B130" s="117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  <c r="U130" s="14"/>
      <c r="V130" s="14"/>
    </row>
    <row r="131" spans="2:22" x14ac:dyDescent="0.25">
      <c r="B131" s="117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 x14ac:dyDescent="0.25">
      <c r="B132" s="117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  <c r="U132" s="14"/>
      <c r="V132" s="14"/>
    </row>
    <row r="133" spans="2:22" x14ac:dyDescent="0.25">
      <c r="B133" s="117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  <c r="U133" s="14"/>
      <c r="V133" s="14"/>
    </row>
    <row r="134" spans="2:22" x14ac:dyDescent="0.25">
      <c r="B134" s="117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 x14ac:dyDescent="0.25">
      <c r="B135" s="117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  <c r="U135" s="14"/>
      <c r="V135" s="14"/>
    </row>
    <row r="136" spans="2:22" x14ac:dyDescent="0.25">
      <c r="B136" s="117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 x14ac:dyDescent="0.25">
      <c r="B137" s="117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  <c r="U137" s="14"/>
      <c r="V137" s="14"/>
    </row>
    <row r="138" spans="2:22" x14ac:dyDescent="0.25">
      <c r="B138" s="118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</sheetData>
  <mergeCells count="11">
    <mergeCell ref="B5:B20"/>
    <mergeCell ref="B22:B52"/>
    <mergeCell ref="B54:B83"/>
    <mergeCell ref="B85:B115"/>
    <mergeCell ref="B117:B138"/>
    <mergeCell ref="R2:S3"/>
    <mergeCell ref="B2:D3"/>
    <mergeCell ref="F2:G3"/>
    <mergeCell ref="I2:J3"/>
    <mergeCell ref="L2:M3"/>
    <mergeCell ref="O2:P3"/>
  </mergeCells>
  <conditionalFormatting sqref="F5:F20 F22:F52 F54:F83 F85:F115 F117:F138">
    <cfRule type="cellIs" dxfId="13" priority="23" operator="equal">
      <formula>0</formula>
    </cfRule>
  </conditionalFormatting>
  <conditionalFormatting sqref="F5:F138">
    <cfRule type="cellIs" dxfId="12" priority="28" operator="greaterThan">
      <formula>0</formula>
    </cfRule>
  </conditionalFormatting>
  <conditionalFormatting sqref="I5:I20 I22:I52 I54:I83 I85:I115 I117:I138">
    <cfRule type="cellIs" dxfId="11" priority="22" operator="equal">
      <formula>0</formula>
    </cfRule>
  </conditionalFormatting>
  <conditionalFormatting sqref="I5:I138">
    <cfRule type="cellIs" dxfId="10" priority="27" operator="greaterThan">
      <formula>0</formula>
    </cfRule>
  </conditionalFormatting>
  <conditionalFormatting sqref="L5:L20 L22:L52 L54:L83 L85:L115 L117:L138">
    <cfRule type="cellIs" dxfId="9" priority="21" operator="equal">
      <formula>0</formula>
    </cfRule>
  </conditionalFormatting>
  <conditionalFormatting sqref="L5:L138">
    <cfRule type="cellIs" dxfId="8" priority="26" operator="greaterThan">
      <formula>0</formula>
    </cfRule>
  </conditionalFormatting>
  <conditionalFormatting sqref="O5:O20 O22:O52 O54:O83 O85:O115 O117:O138">
    <cfRule type="cellIs" dxfId="7" priority="20" operator="equal">
      <formula>0</formula>
    </cfRule>
  </conditionalFormatting>
  <conditionalFormatting sqref="O5:O138">
    <cfRule type="cellIs" dxfId="6" priority="25" operator="greaterThan">
      <formula>0</formula>
    </cfRule>
  </conditionalFormatting>
  <conditionalFormatting sqref="R5:R20">
    <cfRule type="cellIs" dxfId="5" priority="15" operator="equal">
      <formula>0</formula>
    </cfRule>
  </conditionalFormatting>
  <conditionalFormatting sqref="R5:R138">
    <cfRule type="cellIs" dxfId="4" priority="2" operator="greaterThan">
      <formula>0</formula>
    </cfRule>
  </conditionalFormatting>
  <conditionalFormatting sqref="R22:R52">
    <cfRule type="cellIs" dxfId="3" priority="11" operator="equal">
      <formula>0</formula>
    </cfRule>
  </conditionalFormatting>
  <conditionalFormatting sqref="R54:R83">
    <cfRule type="cellIs" dxfId="2" priority="5" operator="equal">
      <formula>0</formula>
    </cfRule>
  </conditionalFormatting>
  <conditionalFormatting sqref="R85:R115">
    <cfRule type="cellIs" dxfId="1" priority="1" operator="equal">
      <formula>0</formula>
    </cfRule>
  </conditionalFormatting>
  <conditionalFormatting sqref="R117:R138">
    <cfRule type="cellIs" dxfId="0" priority="19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H119"/>
  <sheetViews>
    <sheetView topLeftCell="C1" zoomScale="80" zoomScaleNormal="80" workbookViewId="0">
      <selection activeCell="G6" sqref="G6"/>
    </sheetView>
  </sheetViews>
  <sheetFormatPr defaultColWidth="10.85546875" defaultRowHeight="15" x14ac:dyDescent="0.25"/>
  <cols>
    <col min="1" max="1" width="2.5703125" style="14" customWidth="1"/>
    <col min="2" max="2" width="8.85546875" style="14" customWidth="1"/>
    <col min="3" max="3" width="9.85546875" style="14" customWidth="1"/>
    <col min="4" max="4" width="13" style="14" customWidth="1"/>
    <col min="5" max="5" width="150.5703125" style="14" customWidth="1"/>
    <col min="6" max="6" width="2.5703125" style="14" customWidth="1"/>
    <col min="7" max="7" width="13.5703125" style="14" customWidth="1"/>
    <col min="8" max="8" width="18.140625" style="14" customWidth="1"/>
    <col min="9" max="16384" width="10.85546875" style="14"/>
  </cols>
  <sheetData>
    <row r="1" spans="2:8" ht="12" customHeight="1" x14ac:dyDescent="0.25"/>
    <row r="2" spans="2:8" ht="15.95" customHeight="1" x14ac:dyDescent="0.25">
      <c r="B2" s="123" t="s">
        <v>63</v>
      </c>
      <c r="C2" s="123" t="s">
        <v>64</v>
      </c>
      <c r="D2" s="123" t="s">
        <v>65</v>
      </c>
      <c r="E2" s="123" t="s">
        <v>66</v>
      </c>
    </row>
    <row r="3" spans="2:8" ht="15.95" customHeight="1" x14ac:dyDescent="0.25">
      <c r="B3" s="123"/>
      <c r="C3" s="123"/>
      <c r="D3" s="123"/>
      <c r="E3" s="123"/>
    </row>
    <row r="4" spans="2:8" ht="20.100000000000001" customHeight="1" x14ac:dyDescent="0.25">
      <c r="B4" s="124">
        <v>1</v>
      </c>
      <c r="C4" s="5"/>
      <c r="D4" s="81" t="s">
        <v>67</v>
      </c>
      <c r="E4" s="82" t="s">
        <v>68</v>
      </c>
      <c r="G4" s="83" t="s">
        <v>69</v>
      </c>
      <c r="H4" s="84" t="s">
        <v>5</v>
      </c>
    </row>
    <row r="5" spans="2:8" ht="20.100000000000001" customHeight="1" x14ac:dyDescent="0.25">
      <c r="B5" s="124"/>
      <c r="C5" s="5"/>
      <c r="D5" s="81" t="s">
        <v>70</v>
      </c>
      <c r="E5" s="82" t="s">
        <v>71</v>
      </c>
      <c r="G5" s="83" t="s">
        <v>72</v>
      </c>
      <c r="H5" s="84" t="s">
        <v>73</v>
      </c>
    </row>
    <row r="6" spans="2:8" ht="20.100000000000001" customHeight="1" x14ac:dyDescent="0.25">
      <c r="B6" s="124"/>
      <c r="C6" s="5"/>
      <c r="D6" s="81" t="s">
        <v>74</v>
      </c>
      <c r="E6" s="82" t="s">
        <v>75</v>
      </c>
      <c r="G6" s="83" t="s">
        <v>76</v>
      </c>
      <c r="H6" s="84" t="s">
        <v>77</v>
      </c>
    </row>
    <row r="7" spans="2:8" ht="20.100000000000001" customHeight="1" x14ac:dyDescent="0.25">
      <c r="B7" s="124"/>
      <c r="C7" s="5"/>
      <c r="D7" s="81" t="s">
        <v>78</v>
      </c>
      <c r="E7" s="82" t="s">
        <v>79</v>
      </c>
    </row>
    <row r="8" spans="2:8" ht="20.100000000000001" customHeight="1" x14ac:dyDescent="0.25">
      <c r="B8" s="124"/>
      <c r="C8" s="5"/>
      <c r="D8" s="81" t="s">
        <v>80</v>
      </c>
      <c r="E8" s="82" t="s">
        <v>81</v>
      </c>
    </row>
    <row r="9" spans="2:8" ht="20.100000000000001" customHeight="1" x14ac:dyDescent="0.25">
      <c r="B9" s="124"/>
      <c r="C9" s="5"/>
      <c r="D9" s="81" t="s">
        <v>82</v>
      </c>
      <c r="E9" s="82" t="s">
        <v>83</v>
      </c>
    </row>
    <row r="10" spans="2:8" ht="20.100000000000001" customHeight="1" x14ac:dyDescent="0.25">
      <c r="B10" s="124"/>
      <c r="C10" s="5"/>
      <c r="D10" s="81" t="s">
        <v>84</v>
      </c>
      <c r="E10" s="82" t="s">
        <v>85</v>
      </c>
    </row>
    <row r="11" spans="2:8" ht="20.100000000000001" customHeight="1" x14ac:dyDescent="0.25">
      <c r="B11" s="124"/>
      <c r="C11" s="5"/>
      <c r="D11" s="81" t="s">
        <v>86</v>
      </c>
      <c r="E11" s="82" t="s">
        <v>87</v>
      </c>
    </row>
    <row r="12" spans="2:8" ht="20.100000000000001" customHeight="1" x14ac:dyDescent="0.25">
      <c r="B12" s="120">
        <v>2</v>
      </c>
      <c r="C12" s="88">
        <v>8</v>
      </c>
      <c r="D12" s="85" t="s">
        <v>88</v>
      </c>
      <c r="E12" s="89" t="s">
        <v>89</v>
      </c>
      <c r="G12" s="87" t="s">
        <v>69</v>
      </c>
      <c r="H12" s="86" t="s">
        <v>5</v>
      </c>
    </row>
    <row r="13" spans="2:8" ht="20.100000000000001" customHeight="1" x14ac:dyDescent="0.25">
      <c r="B13" s="121"/>
      <c r="C13" s="88">
        <v>3</v>
      </c>
      <c r="D13" s="85" t="s">
        <v>90</v>
      </c>
      <c r="E13" s="89" t="s">
        <v>91</v>
      </c>
      <c r="G13" s="87" t="s">
        <v>72</v>
      </c>
      <c r="H13" s="86" t="s">
        <v>77</v>
      </c>
    </row>
    <row r="14" spans="2:8" ht="20.100000000000001" customHeight="1" x14ac:dyDescent="0.25">
      <c r="B14" s="121"/>
      <c r="C14" s="88">
        <v>3</v>
      </c>
      <c r="D14" s="85" t="s">
        <v>92</v>
      </c>
      <c r="E14" s="89" t="s">
        <v>93</v>
      </c>
      <c r="G14" s="87" t="s">
        <v>76</v>
      </c>
      <c r="H14" s="86" t="s">
        <v>73</v>
      </c>
    </row>
    <row r="15" spans="2:8" ht="20.100000000000001" customHeight="1" x14ac:dyDescent="0.25">
      <c r="B15" s="122"/>
      <c r="C15" s="88">
        <v>5</v>
      </c>
      <c r="D15" s="85" t="s">
        <v>94</v>
      </c>
      <c r="E15" s="89" t="s">
        <v>95</v>
      </c>
    </row>
    <row r="16" spans="2:8" ht="15.95" customHeight="1" x14ac:dyDescent="0.25"/>
    <row r="17" ht="15.95" customHeight="1" x14ac:dyDescent="0.25"/>
    <row r="18" ht="15.95" customHeight="1" x14ac:dyDescent="0.25"/>
    <row r="19" ht="15.95" customHeight="1" x14ac:dyDescent="0.25"/>
    <row r="20" ht="15.95" customHeight="1" x14ac:dyDescent="0.25"/>
    <row r="21" ht="15.95" customHeight="1" x14ac:dyDescent="0.25"/>
    <row r="22" ht="15.95" customHeight="1" x14ac:dyDescent="0.25"/>
    <row r="23" ht="15.95" customHeight="1" x14ac:dyDescent="0.25"/>
    <row r="24" ht="15.95" customHeight="1" x14ac:dyDescent="0.25"/>
    <row r="25" ht="15.95" customHeight="1" x14ac:dyDescent="0.25"/>
    <row r="26" ht="15.95" customHeight="1" x14ac:dyDescent="0.25"/>
    <row r="27" ht="15.95" customHeight="1" x14ac:dyDescent="0.25"/>
    <row r="28" ht="15.95" customHeight="1" x14ac:dyDescent="0.25"/>
    <row r="29" ht="15.95" customHeight="1" x14ac:dyDescent="0.25"/>
    <row r="30" ht="15.95" customHeight="1" x14ac:dyDescent="0.25"/>
    <row r="31" ht="15.95" customHeight="1" x14ac:dyDescent="0.25"/>
    <row r="32" ht="15.95" customHeight="1" x14ac:dyDescent="0.25"/>
    <row r="33" ht="15.95" customHeight="1" x14ac:dyDescent="0.25"/>
    <row r="34" ht="15.95" customHeight="1" x14ac:dyDescent="0.25"/>
    <row r="35" ht="15.95" customHeight="1" x14ac:dyDescent="0.25"/>
    <row r="36" ht="15.95" customHeight="1" x14ac:dyDescent="0.25"/>
    <row r="37" ht="15.95" customHeight="1" x14ac:dyDescent="0.25"/>
    <row r="38" ht="15.95" customHeight="1" x14ac:dyDescent="0.25"/>
    <row r="39" ht="15.95" customHeight="1" x14ac:dyDescent="0.25"/>
    <row r="40" ht="15.95" customHeight="1" x14ac:dyDescent="0.25"/>
    <row r="41" ht="15.95" customHeight="1" x14ac:dyDescent="0.25"/>
    <row r="42" ht="15.95" customHeight="1" x14ac:dyDescent="0.25"/>
    <row r="43" ht="15.95" customHeight="1" x14ac:dyDescent="0.25"/>
    <row r="44" ht="15.95" customHeight="1" x14ac:dyDescent="0.25"/>
    <row r="45" ht="15.95" customHeight="1" x14ac:dyDescent="0.25"/>
    <row r="46" ht="15.95" customHeight="1" x14ac:dyDescent="0.25"/>
    <row r="47" ht="15.95" customHeight="1" x14ac:dyDescent="0.25"/>
    <row r="48" ht="15.95" customHeight="1" x14ac:dyDescent="0.25"/>
    <row r="49" ht="15.95" customHeight="1" x14ac:dyDescent="0.25"/>
    <row r="50" ht="15.95" customHeight="1" x14ac:dyDescent="0.25"/>
    <row r="51" ht="15.95" customHeight="1" x14ac:dyDescent="0.25"/>
    <row r="52" ht="15.95" customHeight="1" x14ac:dyDescent="0.25"/>
    <row r="53" ht="15.95" customHeight="1" x14ac:dyDescent="0.25"/>
    <row r="54" ht="15.95" customHeight="1" x14ac:dyDescent="0.25"/>
    <row r="55" ht="15.95" customHeight="1" x14ac:dyDescent="0.25"/>
    <row r="56" ht="15.95" customHeight="1" x14ac:dyDescent="0.25"/>
    <row r="57" ht="15.95" customHeight="1" x14ac:dyDescent="0.25"/>
    <row r="58" ht="15.95" customHeight="1" x14ac:dyDescent="0.25"/>
    <row r="59" ht="15.95" customHeight="1" x14ac:dyDescent="0.25"/>
    <row r="60" ht="15.95" customHeight="1" x14ac:dyDescent="0.25"/>
    <row r="61" ht="15.95" customHeight="1" x14ac:dyDescent="0.25"/>
    <row r="62" ht="15.95" customHeight="1" x14ac:dyDescent="0.25"/>
    <row r="63" ht="15.95" customHeight="1" x14ac:dyDescent="0.25"/>
    <row r="64" ht="15.95" customHeight="1" x14ac:dyDescent="0.25"/>
    <row r="65" ht="15.95" customHeight="1" x14ac:dyDescent="0.25"/>
    <row r="66" ht="15.95" customHeight="1" x14ac:dyDescent="0.25"/>
    <row r="67" ht="15.95" customHeight="1" x14ac:dyDescent="0.25"/>
    <row r="68" ht="15.95" customHeight="1" x14ac:dyDescent="0.25"/>
    <row r="69" ht="15.95" customHeight="1" x14ac:dyDescent="0.25"/>
    <row r="70" ht="15.95" customHeight="1" x14ac:dyDescent="0.25"/>
    <row r="71" ht="15.95" customHeight="1" x14ac:dyDescent="0.25"/>
    <row r="72" ht="15.95" customHeight="1" x14ac:dyDescent="0.25"/>
    <row r="73" ht="15.95" customHeight="1" x14ac:dyDescent="0.25"/>
    <row r="74" ht="15.95" customHeight="1" x14ac:dyDescent="0.25"/>
    <row r="75" ht="15.95" customHeight="1" x14ac:dyDescent="0.25"/>
    <row r="76" ht="15.95" customHeight="1" x14ac:dyDescent="0.25"/>
    <row r="77" ht="15.95" customHeight="1" x14ac:dyDescent="0.25"/>
    <row r="78" ht="15.95" customHeight="1" x14ac:dyDescent="0.25"/>
    <row r="79" ht="15.95" customHeight="1" x14ac:dyDescent="0.25"/>
    <row r="80" ht="15.95" customHeight="1" x14ac:dyDescent="0.25"/>
    <row r="81" ht="15.95" customHeight="1" x14ac:dyDescent="0.25"/>
    <row r="82" ht="15.95" customHeight="1" x14ac:dyDescent="0.25"/>
    <row r="83" ht="15.95" customHeight="1" x14ac:dyDescent="0.25"/>
    <row r="84" ht="15.95" customHeight="1" x14ac:dyDescent="0.25"/>
    <row r="85" ht="15.95" customHeight="1" x14ac:dyDescent="0.25"/>
    <row r="86" ht="15.95" customHeight="1" x14ac:dyDescent="0.25"/>
    <row r="87" ht="15.95" customHeight="1" x14ac:dyDescent="0.25"/>
    <row r="88" ht="15.95" customHeight="1" x14ac:dyDescent="0.25"/>
    <row r="89" ht="15.95" customHeight="1" x14ac:dyDescent="0.25"/>
    <row r="90" ht="15.95" customHeight="1" x14ac:dyDescent="0.25"/>
    <row r="91" ht="15.95" customHeight="1" x14ac:dyDescent="0.25"/>
    <row r="92" ht="15.95" customHeight="1" x14ac:dyDescent="0.25"/>
    <row r="93" ht="15.95" customHeight="1" x14ac:dyDescent="0.25"/>
    <row r="94" ht="15.95" customHeight="1" x14ac:dyDescent="0.25"/>
    <row r="95" ht="15.95" customHeight="1" x14ac:dyDescent="0.25"/>
    <row r="96" ht="15.95" customHeight="1" x14ac:dyDescent="0.25"/>
    <row r="97" ht="15.95" customHeight="1" x14ac:dyDescent="0.25"/>
    <row r="98" ht="15.95" customHeight="1" x14ac:dyDescent="0.25"/>
    <row r="99" ht="15.95" customHeight="1" x14ac:dyDescent="0.25"/>
    <row r="100" ht="15.95" customHeight="1" x14ac:dyDescent="0.25"/>
    <row r="101" ht="15.95" customHeight="1" x14ac:dyDescent="0.25"/>
    <row r="102" ht="15.95" customHeight="1" x14ac:dyDescent="0.25"/>
    <row r="103" ht="15.95" customHeight="1" x14ac:dyDescent="0.25"/>
    <row r="104" ht="15.95" customHeight="1" x14ac:dyDescent="0.25"/>
    <row r="105" ht="15.95" customHeight="1" x14ac:dyDescent="0.25"/>
    <row r="106" ht="15.95" customHeight="1" x14ac:dyDescent="0.25"/>
    <row r="107" ht="15.95" customHeight="1" x14ac:dyDescent="0.25"/>
    <row r="108" ht="15.95" customHeight="1" x14ac:dyDescent="0.25"/>
    <row r="109" ht="15.95" customHeight="1" x14ac:dyDescent="0.25"/>
    <row r="110" ht="15.95" customHeight="1" x14ac:dyDescent="0.25"/>
    <row r="111" ht="15.95" customHeight="1" x14ac:dyDescent="0.25"/>
    <row r="112" ht="15.95" customHeight="1" x14ac:dyDescent="0.25"/>
    <row r="113" ht="15.95" customHeight="1" x14ac:dyDescent="0.25"/>
    <row r="114" ht="15.95" customHeight="1" x14ac:dyDescent="0.25"/>
    <row r="115" ht="15.95" customHeight="1" x14ac:dyDescent="0.25"/>
    <row r="116" ht="15.95" customHeight="1" x14ac:dyDescent="0.25"/>
    <row r="117" ht="15.95" customHeight="1" x14ac:dyDescent="0.25"/>
    <row r="118" ht="15.95" customHeight="1" x14ac:dyDescent="0.25"/>
    <row r="119" ht="15.95" customHeight="1" x14ac:dyDescent="0.25"/>
  </sheetData>
  <mergeCells count="6">
    <mergeCell ref="B12:B15"/>
    <mergeCell ref="B2:B3"/>
    <mergeCell ref="C2:C3"/>
    <mergeCell ref="D2:D3"/>
    <mergeCell ref="E2:E3"/>
    <mergeCell ref="B4:B11"/>
  </mergeCells>
  <phoneticPr fontId="6" type="noConversion"/>
  <hyperlinks>
    <hyperlink ref="E12" r:id="rId1" xr:uid="{00000000-0004-0000-0600-000000000000}"/>
    <hyperlink ref="E13" r:id="rId2" xr:uid="{00000000-0004-0000-0600-000001000000}"/>
    <hyperlink ref="E14" r:id="rId3" xr:uid="{00000000-0004-0000-0600-000002000000}"/>
    <hyperlink ref="E15" r:id="rId4" xr:uid="{00000000-0004-0000-0600-000003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GLOBAL</vt:lpstr>
      <vt:lpstr>ALBA</vt:lpstr>
      <vt:lpstr>MARC</vt:lpstr>
      <vt:lpstr>MUYE</vt:lpstr>
      <vt:lpstr>VICTOR</vt:lpstr>
      <vt:lpstr>WENJIE</vt:lpstr>
      <vt:lpstr>SCRUM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Victor Peso Keyer</dc:creator>
  <cp:keywords/>
  <dc:description/>
  <cp:lastModifiedBy>Wenjie Chen</cp:lastModifiedBy>
  <cp:revision/>
  <dcterms:created xsi:type="dcterms:W3CDTF">2026-04-16T14:32:42Z</dcterms:created>
  <dcterms:modified xsi:type="dcterms:W3CDTF">2026-05-28T12:25:00Z</dcterms:modified>
  <cp:category/>
  <cp:contentStatus/>
</cp:coreProperties>
</file>